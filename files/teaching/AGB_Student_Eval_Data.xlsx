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nson\Downloads\"/>
    </mc:Choice>
  </mc:AlternateContent>
  <xr:revisionPtr revIDLastSave="0" documentId="13_ncr:1_{45E2E0E0-AD67-43F3-94DE-6BB9442ADD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troduction" sheetId="6" r:id="rId1"/>
    <sheet name="Raw Data" sheetId="1" r:id="rId2"/>
    <sheet name="Collapsed Data" sheetId="4" r:id="rId3"/>
    <sheet name="General Effectiveness" sheetId="5" r:id="rId4"/>
    <sheet name="Competence" sheetId="7" r:id="rId5"/>
    <sheet name="Clarity" sheetId="11" r:id="rId6"/>
    <sheet name="Responsiveness" sheetId="12" r:id="rId7"/>
    <sheet name="Integration" sheetId="13" r:id="rId8"/>
    <sheet name="Timeliness" sheetId="14" r:id="rId9"/>
    <sheet name="Usefulness" sheetId="15" r:id="rId10"/>
    <sheet name="Future Course" sheetId="16" r:id="rId11"/>
  </sheets>
  <definedNames>
    <definedName name="_xlnm._FilterDatabase" localSheetId="2" hidden="1">'Collapsed Data'!$A$2:$CE$2</definedName>
    <definedName name="_xlnm._FilterDatabase" localSheetId="1" hidden="1">'Raw Data'!$A$2:$CE$2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6" l="1"/>
  <c r="E5" i="16"/>
  <c r="F5" i="16"/>
  <c r="G5" i="16"/>
  <c r="H5" i="16"/>
  <c r="I5" i="16"/>
  <c r="J5" i="16"/>
  <c r="C5" i="16"/>
  <c r="J5" i="15"/>
  <c r="I5" i="15"/>
  <c r="H5" i="15"/>
  <c r="G5" i="15"/>
  <c r="F5" i="15"/>
  <c r="E5" i="15"/>
  <c r="D5" i="15"/>
  <c r="C5" i="15"/>
  <c r="D5" i="14"/>
  <c r="E5" i="14"/>
  <c r="F5" i="14"/>
  <c r="G5" i="14"/>
  <c r="H5" i="14"/>
  <c r="I5" i="14"/>
  <c r="J5" i="14"/>
  <c r="C5" i="14"/>
  <c r="D5" i="13"/>
  <c r="E5" i="13"/>
  <c r="F5" i="13"/>
  <c r="G5" i="13"/>
  <c r="H5" i="13"/>
  <c r="I5" i="13"/>
  <c r="J5" i="13"/>
  <c r="C5" i="13"/>
  <c r="D5" i="12"/>
  <c r="E5" i="12"/>
  <c r="F5" i="12"/>
  <c r="G5" i="12"/>
  <c r="H5" i="12"/>
  <c r="I5" i="12"/>
  <c r="J5" i="12"/>
  <c r="C5" i="12"/>
  <c r="D5" i="11"/>
  <c r="E5" i="11"/>
  <c r="F5" i="11"/>
  <c r="G5" i="11"/>
  <c r="H5" i="11"/>
  <c r="I5" i="11"/>
  <c r="J5" i="11"/>
  <c r="C5" i="11"/>
  <c r="D5" i="7"/>
  <c r="E5" i="7"/>
  <c r="F5" i="7"/>
  <c r="G5" i="7"/>
  <c r="H5" i="7"/>
  <c r="I5" i="7"/>
  <c r="J5" i="7"/>
  <c r="C5" i="7"/>
  <c r="I5" i="6"/>
  <c r="D6" i="5"/>
  <c r="E6" i="5"/>
  <c r="F6" i="5"/>
  <c r="G6" i="5"/>
  <c r="H6" i="5"/>
  <c r="C6" i="5"/>
  <c r="B6" i="5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CA3" i="4"/>
  <c r="CB3" i="4"/>
  <c r="CC3" i="4"/>
  <c r="CD3" i="4"/>
  <c r="CE3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CA4" i="4"/>
  <c r="CB4" i="4"/>
  <c r="CC4" i="4"/>
  <c r="CD4" i="4"/>
  <c r="CE4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B5" i="4"/>
  <c r="CC5" i="4"/>
  <c r="CD5" i="4"/>
  <c r="CE5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CA6" i="4"/>
  <c r="CB6" i="4"/>
  <c r="CC6" i="4"/>
  <c r="CD6" i="4"/>
  <c r="CE6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G4" i="4"/>
  <c r="G5" i="4"/>
  <c r="G6" i="4"/>
  <c r="G7" i="4"/>
  <c r="G8" i="4"/>
  <c r="G9" i="4"/>
  <c r="G10" i="4"/>
  <c r="G11" i="4"/>
  <c r="G12" i="4"/>
  <c r="G13" i="4"/>
  <c r="G3" i="4"/>
  <c r="B5" i="11" l="1"/>
  <c r="B6" i="11" s="1"/>
  <c r="B5" i="16" l="1"/>
  <c r="B6" i="16" s="1"/>
  <c r="F6" i="16" s="1"/>
  <c r="B5" i="15"/>
  <c r="B6" i="15" s="1"/>
  <c r="J6" i="15" s="1"/>
  <c r="B5" i="14"/>
  <c r="B6" i="14" s="1"/>
  <c r="F6" i="14" s="1"/>
  <c r="B5" i="13"/>
  <c r="B6" i="13" s="1"/>
  <c r="H6" i="13" s="1"/>
  <c r="B5" i="12"/>
  <c r="B6" i="12" s="1"/>
  <c r="H6" i="12" s="1"/>
  <c r="G6" i="11"/>
  <c r="D6" i="11"/>
  <c r="H6" i="11"/>
  <c r="F6" i="11"/>
  <c r="J6" i="11"/>
  <c r="E6" i="11"/>
  <c r="I6" i="11"/>
  <c r="B5" i="7"/>
  <c r="B6" i="7" s="1"/>
  <c r="D40" i="5"/>
  <c r="D41" i="5"/>
  <c r="E41" i="5" s="1"/>
  <c r="D44" i="5"/>
  <c r="D45" i="5"/>
  <c r="E45" i="5" s="1"/>
  <c r="D48" i="5"/>
  <c r="D49" i="5"/>
  <c r="E49" i="5" s="1"/>
  <c r="F4" i="4"/>
  <c r="F5" i="4"/>
  <c r="F9" i="4"/>
  <c r="F10" i="4"/>
  <c r="F11" i="4"/>
  <c r="F12" i="4"/>
  <c r="F3" i="4"/>
  <c r="E4" i="4"/>
  <c r="E5" i="4"/>
  <c r="E6" i="4"/>
  <c r="E7" i="4"/>
  <c r="E8" i="4"/>
  <c r="E9" i="4"/>
  <c r="E10" i="4"/>
  <c r="E11" i="4"/>
  <c r="E12" i="4"/>
  <c r="E3" i="4"/>
  <c r="H6" i="16" l="1"/>
  <c r="D6" i="16"/>
  <c r="H6" i="15"/>
  <c r="I6" i="16"/>
  <c r="G6" i="16"/>
  <c r="E6" i="16"/>
  <c r="J6" i="16"/>
  <c r="D12" i="16" s="1"/>
  <c r="D10" i="16"/>
  <c r="I7" i="16" s="1"/>
  <c r="E6" i="15"/>
  <c r="D10" i="11"/>
  <c r="D7" i="11" s="1"/>
  <c r="D6" i="12"/>
  <c r="J6" i="12"/>
  <c r="F6" i="12"/>
  <c r="F6" i="15"/>
  <c r="D6" i="15"/>
  <c r="I6" i="15"/>
  <c r="G6" i="15"/>
  <c r="E6" i="14"/>
  <c r="J6" i="14"/>
  <c r="H6" i="14"/>
  <c r="D6" i="14"/>
  <c r="I6" i="14"/>
  <c r="G6" i="14"/>
  <c r="D6" i="13"/>
  <c r="J6" i="13"/>
  <c r="D12" i="13" s="1"/>
  <c r="F6" i="13"/>
  <c r="E6" i="13"/>
  <c r="I6" i="13"/>
  <c r="G6" i="13"/>
  <c r="G6" i="12"/>
  <c r="E6" i="12"/>
  <c r="I6" i="12"/>
  <c r="D12" i="11"/>
  <c r="H6" i="7"/>
  <c r="E6" i="7"/>
  <c r="G6" i="7"/>
  <c r="I6" i="7"/>
  <c r="F6" i="7"/>
  <c r="J6" i="7"/>
  <c r="D6" i="7"/>
  <c r="G49" i="5"/>
  <c r="G45" i="5"/>
  <c r="G41" i="5"/>
  <c r="D46" i="5"/>
  <c r="E46" i="5" s="1"/>
  <c r="G46" i="5"/>
  <c r="D42" i="5"/>
  <c r="E42" i="5" s="1"/>
  <c r="G42" i="5"/>
  <c r="D47" i="5"/>
  <c r="E47" i="5" s="1"/>
  <c r="G47" i="5"/>
  <c r="D43" i="5"/>
  <c r="E43" i="5" s="1"/>
  <c r="G43" i="5"/>
  <c r="E48" i="5"/>
  <c r="G48" i="5"/>
  <c r="E44" i="5"/>
  <c r="G44" i="5"/>
  <c r="E40" i="5"/>
  <c r="G40" i="5"/>
  <c r="D12" i="15" l="1"/>
  <c r="D10" i="12"/>
  <c r="E7" i="12" s="1"/>
  <c r="D12" i="7"/>
  <c r="H7" i="16"/>
  <c r="J7" i="16"/>
  <c r="D7" i="16"/>
  <c r="F7" i="16"/>
  <c r="E7" i="16"/>
  <c r="G7" i="16"/>
  <c r="E7" i="11"/>
  <c r="F7" i="11"/>
  <c r="H7" i="11"/>
  <c r="J7" i="11"/>
  <c r="I7" i="11"/>
  <c r="G7" i="11"/>
  <c r="D12" i="12"/>
  <c r="D10" i="15"/>
  <c r="D10" i="14"/>
  <c r="D12" i="14"/>
  <c r="D10" i="13"/>
  <c r="D10" i="7"/>
  <c r="A6" i="5"/>
  <c r="H7" i="5" s="1"/>
  <c r="D7" i="5" l="1"/>
  <c r="D11" i="16"/>
  <c r="I7" i="12"/>
  <c r="J7" i="12"/>
  <c r="F7" i="12"/>
  <c r="D7" i="12"/>
  <c r="G7" i="12"/>
  <c r="H7" i="12"/>
  <c r="H7" i="7"/>
  <c r="E7" i="7"/>
  <c r="F7" i="7"/>
  <c r="G7" i="7"/>
  <c r="D7" i="7"/>
  <c r="I7" i="7"/>
  <c r="J7" i="7"/>
  <c r="D11" i="11"/>
  <c r="H7" i="15"/>
  <c r="D7" i="15"/>
  <c r="G7" i="15"/>
  <c r="J7" i="15"/>
  <c r="F7" i="15"/>
  <c r="I7" i="15"/>
  <c r="E7" i="15"/>
  <c r="J7" i="14"/>
  <c r="F7" i="14"/>
  <c r="E7" i="14"/>
  <c r="H7" i="14"/>
  <c r="I7" i="14"/>
  <c r="G7" i="14"/>
  <c r="D7" i="14"/>
  <c r="J7" i="13"/>
  <c r="G7" i="13"/>
  <c r="F7" i="13"/>
  <c r="E7" i="13"/>
  <c r="D7" i="13"/>
  <c r="I7" i="13"/>
  <c r="H7" i="13"/>
  <c r="B7" i="5"/>
  <c r="F7" i="5"/>
  <c r="E7" i="5"/>
  <c r="C7" i="5"/>
  <c r="G7" i="5"/>
  <c r="D11" i="12" l="1"/>
  <c r="J7" i="5"/>
  <c r="D11" i="7"/>
  <c r="D11" i="15"/>
  <c r="D11" i="14"/>
  <c r="D11" i="13"/>
</calcChain>
</file>

<file path=xl/sharedStrings.xml><?xml version="1.0" encoding="utf-8"?>
<sst xmlns="http://schemas.openxmlformats.org/spreadsheetml/2006/main" count="260" uniqueCount="96">
  <si>
    <t>Course Title</t>
  </si>
  <si>
    <t>Quarter</t>
  </si>
  <si>
    <t>Section</t>
  </si>
  <si>
    <t>Responses</t>
  </si>
  <si>
    <t>Total Students</t>
  </si>
  <si>
    <t>Order</t>
  </si>
  <si>
    <t>Econ 129</t>
  </si>
  <si>
    <t>Spring 20</t>
  </si>
  <si>
    <t>All</t>
  </si>
  <si>
    <t>Never</t>
  </si>
  <si>
    <t>Once</t>
  </si>
  <si>
    <t>2-3 Times</t>
  </si>
  <si>
    <t>4-5 Times</t>
  </si>
  <si>
    <t>6-7 Times</t>
  </si>
  <si>
    <t>8 times</t>
  </si>
  <si>
    <t>How Often did you attend discusson section?</t>
  </si>
  <si>
    <t>How often did you meet with the T.A., outside of the section time, to discuss the course material?</t>
  </si>
  <si>
    <t>More than 8 times</t>
  </si>
  <si>
    <t>TA was competent in course material.</t>
  </si>
  <si>
    <t>TA was able to make presentations clearly</t>
  </si>
  <si>
    <t>TA was able to integrate the lecture and discussion material.</t>
  </si>
  <si>
    <t>TA was present and on time for discussion sections/office hours.</t>
  </si>
  <si>
    <t>The discussion sections were useful to the success of the course.</t>
  </si>
  <si>
    <t>I would expect another course with this TA to be…</t>
  </si>
  <si>
    <t>Rate your TA's general teaching effectiveness:</t>
  </si>
  <si>
    <t>Poor</t>
  </si>
  <si>
    <t>Inadequate</t>
  </si>
  <si>
    <t>Less than Adequate</t>
  </si>
  <si>
    <t>Adequate</t>
  </si>
  <si>
    <t>More than adequate</t>
  </si>
  <si>
    <t>Very good</t>
  </si>
  <si>
    <t>Excellent</t>
  </si>
  <si>
    <t>Econ 125</t>
  </si>
  <si>
    <t>Winter 20</t>
  </si>
  <si>
    <t>Econ 143</t>
  </si>
  <si>
    <t>Fall 19</t>
  </si>
  <si>
    <t>Econ 145E</t>
  </si>
  <si>
    <t>Winter 19</t>
  </si>
  <si>
    <t>Econ 100A</t>
  </si>
  <si>
    <t>Fall 18</t>
  </si>
  <si>
    <t>341*</t>
  </si>
  <si>
    <t>Pol Sci 21A</t>
  </si>
  <si>
    <t>Spring 18</t>
  </si>
  <si>
    <t>408*</t>
  </si>
  <si>
    <t>Winter 18</t>
  </si>
  <si>
    <t>332*</t>
  </si>
  <si>
    <t>Econ 158</t>
  </si>
  <si>
    <t>Fall 17</t>
  </si>
  <si>
    <t>Pol Sci 151H</t>
  </si>
  <si>
    <t>Spring 17</t>
  </si>
  <si>
    <t>TA was responsive to students</t>
  </si>
  <si>
    <t>B4</t>
  </si>
  <si>
    <t>B5</t>
  </si>
  <si>
    <t>B6</t>
  </si>
  <si>
    <t>Fall 16</t>
  </si>
  <si>
    <t>N</t>
  </si>
  <si>
    <t>N/A or Unsure</t>
  </si>
  <si>
    <t>"Rate your TA's general teaching effectiveness"</t>
  </si>
  <si>
    <t>Very Good</t>
  </si>
  <si>
    <t>More Than Adequate</t>
  </si>
  <si>
    <t>Less Than Adequate</t>
  </si>
  <si>
    <t xml:space="preserve">PDF copies of the evaluations can be found here: </t>
  </si>
  <si>
    <t>Course</t>
  </si>
  <si>
    <t>%</t>
  </si>
  <si>
    <t>Average Rating</t>
  </si>
  <si>
    <t>Poor = 1... Adequate = 4... Excellent = 7</t>
  </si>
  <si>
    <t>* = I was not TA for all of these students. There were multiple TAs.</t>
  </si>
  <si>
    <t>All Responses</t>
  </si>
  <si>
    <t>All Responses, less 
N/A or Unsure</t>
  </si>
  <si>
    <t>Std. Dev.</t>
  </si>
  <si>
    <t>Share of Students Rating Me Above "OK or Average"</t>
  </si>
  <si>
    <t>"TA was competent in course material."</t>
  </si>
  <si>
    <t>"Among Worst"</t>
  </si>
  <si>
    <t>"OK or Average"</t>
  </si>
  <si>
    <t>"Among Best"</t>
  </si>
  <si>
    <t>Average Rating by Course</t>
  </si>
  <si>
    <t>Students Rating Me Above "Adequate"</t>
  </si>
  <si>
    <t>All other tabs summarize the data for a specific question.</t>
  </si>
  <si>
    <t>Trend Over Time</t>
  </si>
  <si>
    <t>The raw data for two courses were originally provided in a format that was disaggregrated by discussion section.</t>
  </si>
  <si>
    <r>
      <rPr>
        <b/>
        <sz val="11"/>
        <color theme="1"/>
        <rFont val="Calibri"/>
        <family val="2"/>
        <scheme val="minor"/>
      </rPr>
      <t>Collapsed Data</t>
    </r>
    <r>
      <rPr>
        <sz val="11"/>
        <color theme="1"/>
        <rFont val="Calibri"/>
        <family val="2"/>
        <scheme val="minor"/>
      </rPr>
      <t xml:space="preserve"> collapses the data so that every observation corresponds to a single course.</t>
    </r>
  </si>
  <si>
    <r>
      <rPr>
        <b/>
        <sz val="11"/>
        <color theme="1"/>
        <rFont val="Calibri"/>
        <family val="2"/>
        <scheme val="minor"/>
      </rPr>
      <t>Raw Data</t>
    </r>
    <r>
      <rPr>
        <sz val="11"/>
        <color theme="1"/>
        <rFont val="Calibri"/>
        <family val="2"/>
        <scheme val="minor"/>
      </rPr>
      <t xml:space="preserve"> contains the data entered directly from the evaluations.</t>
    </r>
  </si>
  <si>
    <t>"T.A. was able to make presentations clearly."</t>
  </si>
  <si>
    <t>"T.A. was responsive to students."</t>
  </si>
  <si>
    <t>"T.A. was able to integrate the lecture and discussion material."</t>
  </si>
  <si>
    <t>"T.A. was present and on time for discussion sections/office hours."</t>
  </si>
  <si>
    <t>"The discussion sections were useful to the success of the course."</t>
  </si>
  <si>
    <t>"I would expect another course with this T.A. to be…"</t>
  </si>
  <si>
    <t>N=</t>
  </si>
  <si>
    <t>How often did you attend discusson section?</t>
  </si>
  <si>
    <t>Spring 21</t>
  </si>
  <si>
    <t>N/A</t>
  </si>
  <si>
    <t>Adequate or better</t>
  </si>
  <si>
    <t>This file summarizes all student evaluations received by Andrew Glen Benson during his time as a teaching assistant at the University of California, Irvine.</t>
  </si>
  <si>
    <t>Disclaimer: In AY 20-21, the set of responses availabile for this question excluded "Excellent." I taught once course in AY 20-21, which is excluded from the summary presented here due to the inconsistency.</t>
  </si>
  <si>
    <t>https://a-g-benson.github.io/teaching.html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</si>
</sst>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/>
    </xf>
    <xf numFmtId="9" fontId="0" fillId="0" borderId="0" xfId="1" applyFont="1"/>
    <xf numFmtId="2" fontId="0" fillId="0" borderId="0" xfId="0" applyNumberFormat="1"/>
    <xf numFmtId="9" fontId="0" fillId="0" borderId="0" xfId="0" applyNumberFormat="1"/>
    <xf numFmtId="0" fontId="0" fillId="0" borderId="0" xfId="0" applyAlignment="1">
      <alignment horizontal="left" vertical="top"/>
    </xf>
    <xf numFmtId="9" fontId="0" fillId="0" borderId="0" xfId="1" applyFont="1" applyBorder="1"/>
    <xf numFmtId="1" fontId="0" fillId="0" borderId="0" xfId="1" applyNumberFormat="1" applyFont="1" applyBorder="1"/>
    <xf numFmtId="0" fontId="2" fillId="0" borderId="0" xfId="2"/>
    <xf numFmtId="0" fontId="5" fillId="0" borderId="0" xfId="0" applyFont="1" applyAlignment="1">
      <alignment vertical="top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2" fontId="5" fillId="0" borderId="0" xfId="0" applyNumberFormat="1" applyFont="1"/>
    <xf numFmtId="9" fontId="5" fillId="0" borderId="0" xfId="0" applyNumberFormat="1" applyFont="1"/>
    <xf numFmtId="9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0" fillId="0" borderId="0" xfId="0" applyFill="1" applyBorder="1" applyAlignment="1">
      <alignment horizontal="right"/>
    </xf>
    <xf numFmtId="9" fontId="3" fillId="0" borderId="0" xfId="0" applyNumberFormat="1" applyFont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 wrapText="1"/>
    </xf>
    <xf numFmtId="9" fontId="0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"Rate your TA's General Teaching Effectiveness"</a:t>
            </a:r>
          </a:p>
        </c:rich>
      </c:tx>
      <c:layout>
        <c:manualLayout>
          <c:xMode val="edge"/>
          <c:yMode val="edge"/>
          <c:x val="0.14378893601704049"/>
          <c:y val="3.3363118704775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29679622609165"/>
          <c:y val="8.3638717549184838E-2"/>
          <c:w val="0.68596215863064014"/>
          <c:h val="0.8499807988953731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127-4A5A-A316-B890250DB88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27-4A5A-A316-B890250DB88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127-4A5A-A316-B890250DB880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127-4A5A-A316-B890250DB880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127-4A5A-A316-B890250DB880}"/>
              </c:ext>
            </c:extLst>
          </c:dPt>
          <c:dPt>
            <c:idx val="5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127-4A5A-A316-B890250DB880}"/>
              </c:ext>
            </c:extLst>
          </c:dPt>
          <c:dPt>
            <c:idx val="6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27-4A5A-A316-B890250DB880}"/>
              </c:ext>
            </c:extLst>
          </c:dPt>
          <c:dLbls>
            <c:dLbl>
              <c:idx val="0"/>
              <c:layout>
                <c:manualLayout>
                  <c:x val="3.9090947071496948E-2"/>
                  <c:y val="-7.20584766796392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27-4A5A-A316-B890250DB880}"/>
                </c:ext>
              </c:extLst>
            </c:dLbl>
            <c:dLbl>
              <c:idx val="1"/>
              <c:layout>
                <c:manualLayout>
                  <c:x val="2.3259541198427516E-2"/>
                  <c:y val="-1.98910501877379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27-4A5A-A316-B890250DB880}"/>
                </c:ext>
              </c:extLst>
            </c:dLbl>
            <c:dLbl>
              <c:idx val="2"/>
              <c:layout>
                <c:manualLayout>
                  <c:x val="1.3080498087906511E-2"/>
                  <c:y val="-1.0390715977120656E-1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27-4A5A-A316-B890250DB880}"/>
                </c:ext>
              </c:extLst>
            </c:dLbl>
            <c:dLbl>
              <c:idx val="3"/>
              <c:layout>
                <c:manualLayout>
                  <c:x val="0.13385698304867427"/>
                  <c:y val="-0.19258942236695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127-4A5A-A316-B890250DB880}"/>
                </c:ext>
              </c:extLst>
            </c:dLbl>
            <c:dLbl>
              <c:idx val="4"/>
              <c:layout>
                <c:manualLayout>
                  <c:x val="0.15192678796400408"/>
                  <c:y val="8.275263287197873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759858500045741"/>
                      <c:h val="0.2852567871609432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6127-4A5A-A316-B890250DB880}"/>
                </c:ext>
              </c:extLst>
            </c:dLbl>
            <c:dLbl>
              <c:idx val="5"/>
              <c:layout>
                <c:manualLayout>
                  <c:x val="4.2084963360847175E-2"/>
                  <c:y val="0.131774693055671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673069844533012"/>
                      <c:h val="0.2160681002152621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6127-4A5A-A316-B890250DB880}"/>
                </c:ext>
              </c:extLst>
            </c:dLbl>
            <c:dLbl>
              <c:idx val="6"/>
              <c:layout>
                <c:manualLayout>
                  <c:x val="-0.21241020292176813"/>
                  <c:y val="7.648488356499234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27-4A5A-A316-B890250DB8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'General Effectiveness'!$B$5:$H$5</c:f>
              <c:strCache>
                <c:ptCount val="7"/>
                <c:pt idx="0">
                  <c:v>Poor</c:v>
                </c:pt>
                <c:pt idx="1">
                  <c:v>Inadequate</c:v>
                </c:pt>
                <c:pt idx="2">
                  <c:v>Less Than Adequate</c:v>
                </c:pt>
                <c:pt idx="3">
                  <c:v>Adequate</c:v>
                </c:pt>
                <c:pt idx="4">
                  <c:v>More Than Adequate</c:v>
                </c:pt>
                <c:pt idx="5">
                  <c:v>Very Good</c:v>
                </c:pt>
                <c:pt idx="6">
                  <c:v>Excellent</c:v>
                </c:pt>
              </c:strCache>
            </c:strRef>
          </c:cat>
          <c:val>
            <c:numRef>
              <c:f>'General Effectiveness'!$B$6:$H$6</c:f>
              <c:numCache>
                <c:formatCode>General</c:formatCode>
                <c:ptCount val="7"/>
                <c:pt idx="0">
                  <c:v>9</c:v>
                </c:pt>
                <c:pt idx="1">
                  <c:v>9</c:v>
                </c:pt>
                <c:pt idx="2">
                  <c:v>30</c:v>
                </c:pt>
                <c:pt idx="3">
                  <c:v>112</c:v>
                </c:pt>
                <c:pt idx="4">
                  <c:v>95</c:v>
                </c:pt>
                <c:pt idx="5">
                  <c:v>105</c:v>
                </c:pt>
                <c:pt idx="6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7-4A5A-A316-B890250DB88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125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'General Effectiveness'!$G$40:$G$49</c:f>
              <c:numCache>
                <c:formatCode>0.00</c:formatCode>
                <c:ptCount val="10"/>
                <c:pt idx="0">
                  <c:v>4.859154929577465</c:v>
                </c:pt>
                <c:pt idx="1">
                  <c:v>5.5483870967741939</c:v>
                </c:pt>
                <c:pt idx="2">
                  <c:v>4.8055555555555554</c:v>
                </c:pt>
                <c:pt idx="3">
                  <c:v>5.4</c:v>
                </c:pt>
                <c:pt idx="4">
                  <c:v>5.4883720930232558</c:v>
                </c:pt>
                <c:pt idx="5">
                  <c:v>5.166666666666667</c:v>
                </c:pt>
                <c:pt idx="6">
                  <c:v>4.4651162790697674</c:v>
                </c:pt>
                <c:pt idx="7">
                  <c:v>5.615384615384615</c:v>
                </c:pt>
                <c:pt idx="8">
                  <c:v>4.9733333333333336</c:v>
                </c:pt>
                <c:pt idx="9">
                  <c:v>6.45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F1-426A-833B-FCD7C6A34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152696"/>
        <c:axId val="417160568"/>
      </c:lineChart>
      <c:catAx>
        <c:axId val="417152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60568"/>
        <c:crosses val="autoZero"/>
        <c:auto val="1"/>
        <c:lblAlgn val="ctr"/>
        <c:lblOffset val="100"/>
        <c:noMultiLvlLbl val="0"/>
      </c:catAx>
      <c:valAx>
        <c:axId val="41716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52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</a:t>
            </a:r>
            <a:r>
              <a:rPr lang="en-US" baseline="0"/>
              <a:t> of Students </a:t>
            </a:r>
            <a:r>
              <a:rPr lang="en-US"/>
              <a:t>Rating me Above "Average"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'General Effectiveness'!$E$40:$E$49</c:f>
              <c:numCache>
                <c:formatCode>0%</c:formatCode>
                <c:ptCount val="10"/>
                <c:pt idx="0">
                  <c:v>0.59154929577464788</c:v>
                </c:pt>
                <c:pt idx="1">
                  <c:v>0.74193548387096775</c:v>
                </c:pt>
                <c:pt idx="2">
                  <c:v>0.52777777777777779</c:v>
                </c:pt>
                <c:pt idx="3">
                  <c:v>0.7384615384615385</c:v>
                </c:pt>
                <c:pt idx="4">
                  <c:v>0.76744186046511631</c:v>
                </c:pt>
                <c:pt idx="5">
                  <c:v>0.69047619047619047</c:v>
                </c:pt>
                <c:pt idx="6">
                  <c:v>0.44186046511627908</c:v>
                </c:pt>
                <c:pt idx="7">
                  <c:v>0.69230769230769229</c:v>
                </c:pt>
                <c:pt idx="8">
                  <c:v>0.57333333333333336</c:v>
                </c:pt>
                <c:pt idx="9">
                  <c:v>0.92500000000000004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A3-4BCE-979C-C7A7A5F6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150400"/>
        <c:axId val="417150728"/>
      </c:lineChart>
      <c:catAx>
        <c:axId val="417150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50728"/>
        <c:crosses val="autoZero"/>
        <c:auto val="1"/>
        <c:lblAlgn val="ctr"/>
        <c:lblOffset val="100"/>
        <c:noMultiLvlLbl val="0"/>
      </c:catAx>
      <c:valAx>
        <c:axId val="41715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5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571498</xdr:colOff>
      <xdr:row>7</xdr:row>
      <xdr:rowOff>100012</xdr:rowOff>
    </xdr:from>
    <xdr:to>
      <xdr:col>7</xdr:col>
      <xdr:colOff>504825</xdr:colOff>
      <xdr:row>35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9ECC17-44C5-48A4-B9B3-D5B0AC30F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1219200</xdr:colOff>
      <xdr:row>50</xdr:row>
      <xdr:rowOff>71437</xdr:rowOff>
    </xdr:from>
    <xdr:to>
      <xdr:col>12</xdr:col>
      <xdr:colOff>238125</xdr:colOff>
      <xdr:row>64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64EB30-6346-49C5-8D24-366AED665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333375</xdr:colOff>
      <xdr:row>50</xdr:row>
      <xdr:rowOff>80962</xdr:rowOff>
    </xdr:from>
    <xdr:to>
      <xdr:col>5</xdr:col>
      <xdr:colOff>914400</xdr:colOff>
      <xdr:row>64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E8A579-E62D-4D3F-BBA3-28CF57CB0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-g-benson.github.io/teaching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0711D-1618-4162-81CF-2F41AB0286FF}">
  <dimension ref="A1:I9"/>
  <sheetViews>
    <sheetView tabSelected="1" workbookViewId="0">
      <selection activeCell="L11" sqref="L11"/>
    </sheetView>
  </sheetViews>
  <sheetFormatPr defaultRowHeight="15" x14ac:dyDescent="0.25"/>
  <sheetData>
    <row r="1" spans="1:9" x14ac:dyDescent="0.25">
      <c r="A1" t="s">
        <v>93</v>
      </c>
    </row>
    <row r="3" spans="1:9" x14ac:dyDescent="0.25">
      <c r="A3" t="s">
        <v>61</v>
      </c>
      <c r="F3" s="11" t="s">
        <v>95</v>
      </c>
    </row>
    <row r="5" spans="1:9" x14ac:dyDescent="0.25">
      <c r="A5" t="s">
        <v>81</v>
      </c>
      <c r="H5" s="4" t="s">
        <v>88</v>
      </c>
      <c r="I5">
        <f>SUM('Raw Data'!E3:E17)</f>
        <v>502</v>
      </c>
    </row>
    <row r="6" spans="1:9" x14ac:dyDescent="0.25">
      <c r="A6" t="s">
        <v>79</v>
      </c>
    </row>
    <row r="7" spans="1:9" x14ac:dyDescent="0.25">
      <c r="A7" t="s">
        <v>80</v>
      </c>
    </row>
    <row r="9" spans="1:9" x14ac:dyDescent="0.25">
      <c r="A9" t="s">
        <v>77</v>
      </c>
    </row>
  </sheetData>
  <hyperlinks>
    <hyperlink ref="F3" r:id="rId1" xr:uid="{590DE2DC-211E-429A-ACD9-AE7AA11F065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7"/>
  <sheetViews>
    <sheetView workbookViewId="0">
      <selection activeCell="E3" sqref="E3:E17"/>
    </sheetView>
  </sheetViews>
  <sheetFormatPr defaultRowHeight="15" x14ac:dyDescent="0.25"/>
  <cols>
    <col min="1" max="1" width="7.85546875" customWidth="1"/>
    <col min="2" max="2" width="13.5703125" customWidth="1"/>
    <col min="3" max="3" width="12.28515625" customWidth="1"/>
    <col min="4" max="4" width="9.85546875" customWidth="1"/>
    <col min="5" max="5" width="11.28515625" customWidth="1"/>
    <col min="6" max="6" width="15.28515625" customWidth="1"/>
    <col min="7" max="7" width="11.28515625" customWidth="1"/>
    <col min="9" max="9" width="9.85546875" customWidth="1"/>
    <col min="10" max="10" width="10.5703125" customWidth="1"/>
    <col min="11" max="11" width="10.7109375" customWidth="1"/>
    <col min="12" max="12" width="10" customWidth="1"/>
    <col min="13" max="13" width="11.140625" customWidth="1"/>
  </cols>
  <sheetData>
    <row r="1" spans="1:84" ht="35.25" customHeight="1" x14ac:dyDescent="0.25">
      <c r="F1" s="4" t="s">
        <v>66</v>
      </c>
      <c r="G1" s="22" t="s">
        <v>89</v>
      </c>
      <c r="H1" s="22"/>
      <c r="I1" s="22"/>
      <c r="J1" s="22"/>
      <c r="K1" s="22"/>
      <c r="L1" s="22"/>
      <c r="M1" s="22"/>
      <c r="N1" s="24" t="s">
        <v>16</v>
      </c>
      <c r="O1" s="24"/>
      <c r="P1" s="24"/>
      <c r="Q1" s="24"/>
      <c r="R1" s="24"/>
      <c r="S1" s="24"/>
      <c r="T1" s="24"/>
      <c r="U1" s="22" t="s">
        <v>18</v>
      </c>
      <c r="V1" s="22"/>
      <c r="W1" s="22"/>
      <c r="X1" s="22"/>
      <c r="Y1" s="22"/>
      <c r="Z1" s="22"/>
      <c r="AA1" s="22"/>
      <c r="AB1" s="22"/>
      <c r="AC1" s="22" t="s">
        <v>19</v>
      </c>
      <c r="AD1" s="22"/>
      <c r="AE1" s="22"/>
      <c r="AF1" s="22"/>
      <c r="AG1" s="22"/>
      <c r="AH1" s="22"/>
      <c r="AI1" s="22"/>
      <c r="AJ1" s="22"/>
      <c r="AK1" s="22" t="s">
        <v>50</v>
      </c>
      <c r="AL1" s="22"/>
      <c r="AM1" s="22"/>
      <c r="AN1" s="22"/>
      <c r="AO1" s="22"/>
      <c r="AP1" s="22"/>
      <c r="AQ1" s="22"/>
      <c r="AR1" s="22"/>
      <c r="AS1" s="22" t="s">
        <v>20</v>
      </c>
      <c r="AT1" s="22"/>
      <c r="AU1" s="22"/>
      <c r="AV1" s="22"/>
      <c r="AW1" s="22"/>
      <c r="AX1" s="22"/>
      <c r="AY1" s="22"/>
      <c r="AZ1" s="22"/>
      <c r="BA1" s="22" t="s">
        <v>21</v>
      </c>
      <c r="BB1" s="22"/>
      <c r="BC1" s="22"/>
      <c r="BD1" s="22"/>
      <c r="BE1" s="22"/>
      <c r="BF1" s="22"/>
      <c r="BG1" s="22"/>
      <c r="BH1" s="22"/>
      <c r="BI1" s="22" t="s">
        <v>22</v>
      </c>
      <c r="BJ1" s="22"/>
      <c r="BK1" s="22"/>
      <c r="BL1" s="22"/>
      <c r="BM1" s="22"/>
      <c r="BN1" s="22"/>
      <c r="BO1" s="22"/>
      <c r="BP1" s="22"/>
      <c r="BQ1" s="22" t="s">
        <v>23</v>
      </c>
      <c r="BR1" s="22"/>
      <c r="BS1" s="22"/>
      <c r="BT1" s="22"/>
      <c r="BU1" s="22"/>
      <c r="BV1" s="22"/>
      <c r="BW1" s="22"/>
      <c r="BX1" s="22"/>
      <c r="BY1" s="23" t="s">
        <v>24</v>
      </c>
      <c r="BZ1" s="23"/>
      <c r="CA1" s="23"/>
      <c r="CB1" s="23"/>
      <c r="CC1" s="23"/>
      <c r="CD1" s="23"/>
      <c r="CE1" s="23"/>
      <c r="CF1" s="2"/>
    </row>
    <row r="2" spans="1:84" x14ac:dyDescent="0.25">
      <c r="A2" t="s">
        <v>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17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17</v>
      </c>
      <c r="U2" s="1">
        <v>0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0</v>
      </c>
      <c r="AD2" s="1">
        <v>1</v>
      </c>
      <c r="AE2" s="1">
        <v>2</v>
      </c>
      <c r="AF2" s="1">
        <v>3</v>
      </c>
      <c r="AG2" s="1">
        <v>4</v>
      </c>
      <c r="AH2" s="1">
        <v>5</v>
      </c>
      <c r="AI2" s="1">
        <v>6</v>
      </c>
      <c r="AJ2" s="1">
        <v>7</v>
      </c>
      <c r="AK2" s="1">
        <v>0</v>
      </c>
      <c r="AL2" s="1">
        <v>1</v>
      </c>
      <c r="AM2" s="1">
        <v>2</v>
      </c>
      <c r="AN2" s="1">
        <v>3</v>
      </c>
      <c r="AO2" s="1">
        <v>4</v>
      </c>
      <c r="AP2" s="1">
        <v>5</v>
      </c>
      <c r="AQ2" s="1">
        <v>6</v>
      </c>
      <c r="AR2" s="1">
        <v>7</v>
      </c>
      <c r="AS2" s="1">
        <v>0</v>
      </c>
      <c r="AT2" s="1">
        <v>1</v>
      </c>
      <c r="AU2" s="1">
        <v>2</v>
      </c>
      <c r="AV2" s="1">
        <v>3</v>
      </c>
      <c r="AW2" s="1">
        <v>4</v>
      </c>
      <c r="AX2" s="1">
        <v>5</v>
      </c>
      <c r="AY2" s="1">
        <v>6</v>
      </c>
      <c r="AZ2" s="1">
        <v>7</v>
      </c>
      <c r="BA2" s="1">
        <v>0</v>
      </c>
      <c r="BB2" s="1">
        <v>1</v>
      </c>
      <c r="BC2" s="1">
        <v>2</v>
      </c>
      <c r="BD2" s="1">
        <v>3</v>
      </c>
      <c r="BE2" s="1">
        <v>4</v>
      </c>
      <c r="BF2" s="1">
        <v>5</v>
      </c>
      <c r="BG2" s="1">
        <v>6</v>
      </c>
      <c r="BH2" s="1">
        <v>7</v>
      </c>
      <c r="BI2" s="1">
        <v>0</v>
      </c>
      <c r="BJ2" s="1">
        <v>1</v>
      </c>
      <c r="BK2" s="1">
        <v>2</v>
      </c>
      <c r="BL2" s="1">
        <v>3</v>
      </c>
      <c r="BM2" s="1">
        <v>4</v>
      </c>
      <c r="BN2" s="1">
        <v>5</v>
      </c>
      <c r="BO2" s="1">
        <v>6</v>
      </c>
      <c r="BP2" s="1">
        <v>7</v>
      </c>
      <c r="BQ2" s="1">
        <v>0</v>
      </c>
      <c r="BR2" s="1">
        <v>1</v>
      </c>
      <c r="BS2" s="1">
        <v>2</v>
      </c>
      <c r="BT2" s="1">
        <v>3</v>
      </c>
      <c r="BU2" s="1">
        <v>4</v>
      </c>
      <c r="BV2" s="1">
        <v>5</v>
      </c>
      <c r="BW2" s="1">
        <v>6</v>
      </c>
      <c r="BX2" s="1">
        <v>7</v>
      </c>
      <c r="BY2" t="s">
        <v>25</v>
      </c>
      <c r="BZ2" t="s">
        <v>26</v>
      </c>
      <c r="CA2" t="s">
        <v>27</v>
      </c>
      <c r="CB2" t="s">
        <v>28</v>
      </c>
      <c r="CC2" t="s">
        <v>29</v>
      </c>
      <c r="CD2" t="s">
        <v>30</v>
      </c>
      <c r="CE2" t="s">
        <v>31</v>
      </c>
    </row>
    <row r="3" spans="1:84" x14ac:dyDescent="0.25">
      <c r="A3">
        <v>1</v>
      </c>
      <c r="B3" t="s">
        <v>38</v>
      </c>
      <c r="C3" t="s">
        <v>54</v>
      </c>
      <c r="D3" s="1" t="s">
        <v>53</v>
      </c>
      <c r="E3">
        <v>25</v>
      </c>
      <c r="F3">
        <v>43</v>
      </c>
      <c r="G3">
        <v>0</v>
      </c>
      <c r="H3">
        <v>1</v>
      </c>
      <c r="I3">
        <v>1</v>
      </c>
      <c r="J3">
        <v>4</v>
      </c>
      <c r="K3">
        <v>3</v>
      </c>
      <c r="L3">
        <v>3</v>
      </c>
      <c r="M3">
        <v>10</v>
      </c>
      <c r="N3">
        <v>5</v>
      </c>
      <c r="O3">
        <v>3</v>
      </c>
      <c r="P3">
        <v>6</v>
      </c>
      <c r="Q3">
        <v>2</v>
      </c>
      <c r="R3">
        <v>2</v>
      </c>
      <c r="S3">
        <v>2</v>
      </c>
      <c r="T3">
        <v>3</v>
      </c>
      <c r="U3">
        <v>0</v>
      </c>
      <c r="V3">
        <v>0</v>
      </c>
      <c r="W3">
        <v>1</v>
      </c>
      <c r="X3">
        <v>6</v>
      </c>
      <c r="Y3">
        <v>5</v>
      </c>
      <c r="Z3">
        <v>7</v>
      </c>
      <c r="AA3">
        <v>2</v>
      </c>
      <c r="AB3">
        <v>3</v>
      </c>
      <c r="AC3">
        <v>0</v>
      </c>
      <c r="AD3">
        <v>0</v>
      </c>
      <c r="AE3">
        <v>1</v>
      </c>
      <c r="AF3">
        <v>4</v>
      </c>
      <c r="AG3">
        <v>6</v>
      </c>
      <c r="AH3">
        <v>7</v>
      </c>
      <c r="AI3">
        <v>5</v>
      </c>
      <c r="AJ3">
        <v>1</v>
      </c>
      <c r="AK3">
        <v>1</v>
      </c>
      <c r="AL3">
        <v>0</v>
      </c>
      <c r="AM3">
        <v>1</v>
      </c>
      <c r="AN3">
        <v>1</v>
      </c>
      <c r="AO3">
        <v>5</v>
      </c>
      <c r="AP3">
        <v>4</v>
      </c>
      <c r="AQ3">
        <v>6</v>
      </c>
      <c r="AR3">
        <v>6</v>
      </c>
      <c r="AS3">
        <v>0</v>
      </c>
      <c r="AT3">
        <v>0</v>
      </c>
      <c r="AU3">
        <v>0</v>
      </c>
      <c r="AV3">
        <v>5</v>
      </c>
      <c r="AW3">
        <v>5</v>
      </c>
      <c r="AX3">
        <v>8</v>
      </c>
      <c r="AY3">
        <v>3</v>
      </c>
      <c r="AZ3">
        <v>3</v>
      </c>
      <c r="BA3">
        <v>0</v>
      </c>
      <c r="BB3">
        <v>0</v>
      </c>
      <c r="BC3">
        <v>0</v>
      </c>
      <c r="BD3">
        <v>2</v>
      </c>
      <c r="BE3">
        <v>5</v>
      </c>
      <c r="BF3">
        <v>4</v>
      </c>
      <c r="BG3">
        <v>6</v>
      </c>
      <c r="BH3">
        <v>7</v>
      </c>
      <c r="BI3">
        <v>0</v>
      </c>
      <c r="BJ3">
        <v>0</v>
      </c>
      <c r="BK3">
        <v>0</v>
      </c>
      <c r="BL3">
        <v>5</v>
      </c>
      <c r="BM3">
        <v>5</v>
      </c>
      <c r="BN3">
        <v>8</v>
      </c>
      <c r="BO3">
        <v>6</v>
      </c>
      <c r="BP3">
        <v>0</v>
      </c>
      <c r="BQ3">
        <v>0</v>
      </c>
      <c r="BR3">
        <v>0</v>
      </c>
      <c r="BS3">
        <v>0</v>
      </c>
      <c r="BT3">
        <v>4</v>
      </c>
      <c r="BU3">
        <v>6</v>
      </c>
      <c r="BV3">
        <v>6</v>
      </c>
      <c r="BW3">
        <v>6</v>
      </c>
      <c r="BX3">
        <v>1</v>
      </c>
      <c r="BY3">
        <v>0</v>
      </c>
      <c r="BZ3">
        <v>0</v>
      </c>
      <c r="CA3">
        <v>3</v>
      </c>
      <c r="CB3">
        <v>9</v>
      </c>
      <c r="CC3">
        <v>5</v>
      </c>
      <c r="CD3">
        <v>5</v>
      </c>
      <c r="CE3">
        <v>3</v>
      </c>
    </row>
    <row r="4" spans="1:84" x14ac:dyDescent="0.25">
      <c r="A4">
        <v>2</v>
      </c>
      <c r="B4" t="s">
        <v>38</v>
      </c>
      <c r="C4" t="s">
        <v>54</v>
      </c>
      <c r="D4" s="1" t="s">
        <v>52</v>
      </c>
      <c r="E4">
        <v>24</v>
      </c>
      <c r="F4">
        <v>43</v>
      </c>
      <c r="G4">
        <v>0</v>
      </c>
      <c r="H4">
        <v>1</v>
      </c>
      <c r="I4">
        <v>2</v>
      </c>
      <c r="J4">
        <v>0</v>
      </c>
      <c r="K4">
        <v>1</v>
      </c>
      <c r="L4">
        <v>3</v>
      </c>
      <c r="M4">
        <v>17</v>
      </c>
      <c r="N4">
        <v>9</v>
      </c>
      <c r="O4">
        <v>4</v>
      </c>
      <c r="P4">
        <v>6</v>
      </c>
      <c r="Q4">
        <v>1</v>
      </c>
      <c r="R4">
        <v>0</v>
      </c>
      <c r="S4">
        <v>0</v>
      </c>
      <c r="T4">
        <v>4</v>
      </c>
      <c r="U4">
        <v>0</v>
      </c>
      <c r="V4">
        <v>0</v>
      </c>
      <c r="W4">
        <v>1</v>
      </c>
      <c r="X4">
        <v>1</v>
      </c>
      <c r="Y4">
        <v>6</v>
      </c>
      <c r="Z4">
        <v>7</v>
      </c>
      <c r="AA4">
        <v>5</v>
      </c>
      <c r="AB4">
        <v>4</v>
      </c>
      <c r="AC4">
        <v>0</v>
      </c>
      <c r="AD4">
        <v>1</v>
      </c>
      <c r="AE4">
        <v>1</v>
      </c>
      <c r="AF4">
        <v>0</v>
      </c>
      <c r="AG4">
        <v>11</v>
      </c>
      <c r="AH4">
        <v>7</v>
      </c>
      <c r="AI4">
        <v>1</v>
      </c>
      <c r="AJ4">
        <v>3</v>
      </c>
      <c r="AK4">
        <v>0</v>
      </c>
      <c r="AL4">
        <v>0</v>
      </c>
      <c r="AM4">
        <v>0</v>
      </c>
      <c r="AN4">
        <v>0</v>
      </c>
      <c r="AO4">
        <v>6</v>
      </c>
      <c r="AP4">
        <v>5</v>
      </c>
      <c r="AQ4">
        <v>5</v>
      </c>
      <c r="AR4">
        <v>8</v>
      </c>
      <c r="AS4">
        <v>0</v>
      </c>
      <c r="AT4">
        <v>0</v>
      </c>
      <c r="AU4">
        <v>0</v>
      </c>
      <c r="AV4">
        <v>1</v>
      </c>
      <c r="AW4">
        <v>4</v>
      </c>
      <c r="AX4">
        <v>5</v>
      </c>
      <c r="AY4">
        <v>8</v>
      </c>
      <c r="AZ4">
        <v>6</v>
      </c>
      <c r="BA4">
        <v>0</v>
      </c>
      <c r="BB4">
        <v>0</v>
      </c>
      <c r="BC4">
        <v>0</v>
      </c>
      <c r="BD4">
        <v>0</v>
      </c>
      <c r="BE4">
        <v>8</v>
      </c>
      <c r="BF4">
        <v>5</v>
      </c>
      <c r="BG4">
        <v>3</v>
      </c>
      <c r="BH4">
        <v>8</v>
      </c>
      <c r="BI4">
        <v>1</v>
      </c>
      <c r="BJ4">
        <v>0</v>
      </c>
      <c r="BK4">
        <v>2</v>
      </c>
      <c r="BL4">
        <v>0</v>
      </c>
      <c r="BM4">
        <v>6</v>
      </c>
      <c r="BN4">
        <v>10</v>
      </c>
      <c r="BO4">
        <v>2</v>
      </c>
      <c r="BP4">
        <v>3</v>
      </c>
      <c r="BQ4">
        <v>1</v>
      </c>
      <c r="BR4">
        <v>0</v>
      </c>
      <c r="BS4">
        <v>1</v>
      </c>
      <c r="BT4">
        <v>0</v>
      </c>
      <c r="BU4">
        <v>8</v>
      </c>
      <c r="BV4">
        <v>8</v>
      </c>
      <c r="BW4">
        <v>2</v>
      </c>
      <c r="BX4">
        <v>4</v>
      </c>
      <c r="BY4">
        <v>0</v>
      </c>
      <c r="BZ4">
        <v>0</v>
      </c>
      <c r="CA4">
        <v>2</v>
      </c>
      <c r="CB4">
        <v>5</v>
      </c>
      <c r="CC4">
        <v>10</v>
      </c>
      <c r="CD4">
        <v>5</v>
      </c>
      <c r="CE4">
        <v>2</v>
      </c>
    </row>
    <row r="5" spans="1:84" x14ac:dyDescent="0.25">
      <c r="A5">
        <v>3</v>
      </c>
      <c r="B5" t="s">
        <v>38</v>
      </c>
      <c r="C5" t="s">
        <v>54</v>
      </c>
      <c r="D5" s="1" t="s">
        <v>51</v>
      </c>
      <c r="E5">
        <v>22</v>
      </c>
      <c r="F5">
        <v>43</v>
      </c>
      <c r="G5">
        <v>0</v>
      </c>
      <c r="H5">
        <v>1</v>
      </c>
      <c r="I5">
        <v>2</v>
      </c>
      <c r="J5">
        <v>1</v>
      </c>
      <c r="K5">
        <v>2</v>
      </c>
      <c r="L5">
        <v>3</v>
      </c>
      <c r="M5">
        <v>13</v>
      </c>
      <c r="N5">
        <v>10</v>
      </c>
      <c r="O5">
        <v>2</v>
      </c>
      <c r="P5">
        <v>4</v>
      </c>
      <c r="Q5">
        <v>2</v>
      </c>
      <c r="R5">
        <v>0</v>
      </c>
      <c r="S5">
        <v>2</v>
      </c>
      <c r="T5">
        <v>2</v>
      </c>
      <c r="U5">
        <v>0</v>
      </c>
      <c r="V5">
        <v>1</v>
      </c>
      <c r="W5">
        <v>2</v>
      </c>
      <c r="X5">
        <v>2</v>
      </c>
      <c r="Y5">
        <v>5</v>
      </c>
      <c r="Z5">
        <v>3</v>
      </c>
      <c r="AA5">
        <v>6</v>
      </c>
      <c r="AB5">
        <v>3</v>
      </c>
      <c r="AC5">
        <v>0</v>
      </c>
      <c r="AD5">
        <v>0</v>
      </c>
      <c r="AE5">
        <v>3</v>
      </c>
      <c r="AF5">
        <v>1</v>
      </c>
      <c r="AG5">
        <v>8</v>
      </c>
      <c r="AH5">
        <v>3</v>
      </c>
      <c r="AI5">
        <v>3</v>
      </c>
      <c r="AJ5">
        <v>4</v>
      </c>
      <c r="AK5">
        <v>0</v>
      </c>
      <c r="AL5">
        <v>0</v>
      </c>
      <c r="AM5">
        <v>2</v>
      </c>
      <c r="AN5">
        <v>1</v>
      </c>
      <c r="AO5">
        <v>5</v>
      </c>
      <c r="AP5">
        <v>5</v>
      </c>
      <c r="AQ5">
        <v>3</v>
      </c>
      <c r="AR5">
        <v>6</v>
      </c>
      <c r="AS5">
        <v>0</v>
      </c>
      <c r="AT5">
        <v>1</v>
      </c>
      <c r="AU5">
        <v>2</v>
      </c>
      <c r="AV5">
        <v>2</v>
      </c>
      <c r="AW5">
        <v>6</v>
      </c>
      <c r="AX5">
        <v>4</v>
      </c>
      <c r="AY5">
        <v>3</v>
      </c>
      <c r="AZ5">
        <v>4</v>
      </c>
      <c r="BA5">
        <v>1</v>
      </c>
      <c r="BB5">
        <v>0</v>
      </c>
      <c r="BC5">
        <v>1</v>
      </c>
      <c r="BD5">
        <v>1</v>
      </c>
      <c r="BE5">
        <v>5</v>
      </c>
      <c r="BF5">
        <v>3</v>
      </c>
      <c r="BG5">
        <v>4</v>
      </c>
      <c r="BH5">
        <v>7</v>
      </c>
      <c r="BI5">
        <v>1</v>
      </c>
      <c r="BJ5">
        <v>1</v>
      </c>
      <c r="BK5">
        <v>2</v>
      </c>
      <c r="BL5">
        <v>2</v>
      </c>
      <c r="BM5">
        <v>6</v>
      </c>
      <c r="BN5">
        <v>3</v>
      </c>
      <c r="BO5">
        <v>4</v>
      </c>
      <c r="BP5">
        <v>3</v>
      </c>
      <c r="BQ5">
        <v>1</v>
      </c>
      <c r="BR5">
        <v>2</v>
      </c>
      <c r="BS5">
        <v>2</v>
      </c>
      <c r="BT5">
        <v>2</v>
      </c>
      <c r="BU5">
        <v>5</v>
      </c>
      <c r="BV5">
        <v>3</v>
      </c>
      <c r="BW5">
        <v>4</v>
      </c>
      <c r="BX5">
        <v>3</v>
      </c>
      <c r="BY5">
        <v>0</v>
      </c>
      <c r="BZ5">
        <v>2</v>
      </c>
      <c r="CA5">
        <v>2</v>
      </c>
      <c r="CB5">
        <v>6</v>
      </c>
      <c r="CC5">
        <v>4</v>
      </c>
      <c r="CD5">
        <v>6</v>
      </c>
      <c r="CE5">
        <v>2</v>
      </c>
    </row>
    <row r="6" spans="1:84" x14ac:dyDescent="0.25">
      <c r="A6">
        <v>4</v>
      </c>
      <c r="B6" t="s">
        <v>48</v>
      </c>
      <c r="C6" t="s">
        <v>49</v>
      </c>
      <c r="D6" s="1">
        <v>11</v>
      </c>
      <c r="E6">
        <v>11</v>
      </c>
      <c r="F6">
        <v>26</v>
      </c>
      <c r="G6">
        <v>0</v>
      </c>
      <c r="H6">
        <v>1</v>
      </c>
      <c r="I6">
        <v>4</v>
      </c>
      <c r="J6">
        <v>1</v>
      </c>
      <c r="K6">
        <v>2</v>
      </c>
      <c r="L6">
        <v>0</v>
      </c>
      <c r="M6">
        <v>3</v>
      </c>
      <c r="N6">
        <v>3</v>
      </c>
      <c r="O6">
        <v>0</v>
      </c>
      <c r="P6">
        <v>4</v>
      </c>
      <c r="Q6">
        <v>1</v>
      </c>
      <c r="R6">
        <v>1</v>
      </c>
      <c r="S6">
        <v>0</v>
      </c>
      <c r="T6">
        <v>2</v>
      </c>
      <c r="U6">
        <v>0</v>
      </c>
      <c r="V6">
        <v>0</v>
      </c>
      <c r="W6">
        <v>0</v>
      </c>
      <c r="X6">
        <v>2</v>
      </c>
      <c r="Y6">
        <v>0</v>
      </c>
      <c r="Z6">
        <v>3</v>
      </c>
      <c r="AA6">
        <v>1</v>
      </c>
      <c r="AB6">
        <v>5</v>
      </c>
      <c r="AC6">
        <v>0</v>
      </c>
      <c r="AD6">
        <v>1</v>
      </c>
      <c r="AE6">
        <v>0</v>
      </c>
      <c r="AF6">
        <v>1</v>
      </c>
      <c r="AG6">
        <v>0</v>
      </c>
      <c r="AH6">
        <v>4</v>
      </c>
      <c r="AI6">
        <v>0</v>
      </c>
      <c r="AJ6">
        <v>5</v>
      </c>
      <c r="AK6">
        <v>0</v>
      </c>
      <c r="AL6">
        <v>0</v>
      </c>
      <c r="AM6">
        <v>0</v>
      </c>
      <c r="AN6">
        <v>2</v>
      </c>
      <c r="AO6">
        <v>1</v>
      </c>
      <c r="AP6">
        <v>2</v>
      </c>
      <c r="AQ6">
        <v>0</v>
      </c>
      <c r="AR6">
        <v>6</v>
      </c>
      <c r="AS6">
        <v>0</v>
      </c>
      <c r="AT6">
        <v>1</v>
      </c>
      <c r="AU6">
        <v>0</v>
      </c>
      <c r="AV6">
        <v>1</v>
      </c>
      <c r="AW6">
        <v>1</v>
      </c>
      <c r="AX6">
        <v>2</v>
      </c>
      <c r="AY6">
        <v>1</v>
      </c>
      <c r="AZ6">
        <v>5</v>
      </c>
      <c r="BA6">
        <v>0</v>
      </c>
      <c r="BB6">
        <v>0</v>
      </c>
      <c r="BC6">
        <v>0</v>
      </c>
      <c r="BD6">
        <v>1</v>
      </c>
      <c r="BE6">
        <v>2</v>
      </c>
      <c r="BF6">
        <v>2</v>
      </c>
      <c r="BG6">
        <v>1</v>
      </c>
      <c r="BH6">
        <v>5</v>
      </c>
      <c r="BI6">
        <v>0</v>
      </c>
      <c r="BJ6">
        <v>1</v>
      </c>
      <c r="BK6">
        <v>0</v>
      </c>
      <c r="BL6">
        <v>1</v>
      </c>
      <c r="BM6">
        <v>1</v>
      </c>
      <c r="BN6">
        <v>1</v>
      </c>
      <c r="BO6">
        <v>2</v>
      </c>
      <c r="BP6">
        <v>5</v>
      </c>
      <c r="BQ6">
        <v>0</v>
      </c>
      <c r="BR6">
        <v>1</v>
      </c>
      <c r="BS6">
        <v>0</v>
      </c>
      <c r="BT6">
        <v>1</v>
      </c>
      <c r="BU6">
        <v>1</v>
      </c>
      <c r="BV6">
        <v>1</v>
      </c>
      <c r="BW6">
        <v>1</v>
      </c>
      <c r="BX6">
        <v>6</v>
      </c>
      <c r="BY6">
        <v>1</v>
      </c>
      <c r="BZ6">
        <v>0</v>
      </c>
      <c r="CA6">
        <v>0</v>
      </c>
      <c r="CB6">
        <v>3</v>
      </c>
      <c r="CC6">
        <v>2</v>
      </c>
      <c r="CD6">
        <v>0</v>
      </c>
      <c r="CE6">
        <v>5</v>
      </c>
    </row>
    <row r="7" spans="1:84" x14ac:dyDescent="0.25">
      <c r="A7">
        <v>5</v>
      </c>
      <c r="B7" t="s">
        <v>48</v>
      </c>
      <c r="C7" t="s">
        <v>49</v>
      </c>
      <c r="D7" s="1">
        <v>3</v>
      </c>
      <c r="E7">
        <v>10</v>
      </c>
      <c r="F7">
        <v>30</v>
      </c>
      <c r="G7">
        <v>1</v>
      </c>
      <c r="H7">
        <v>1</v>
      </c>
      <c r="I7">
        <v>0</v>
      </c>
      <c r="J7">
        <v>2</v>
      </c>
      <c r="K7">
        <v>1</v>
      </c>
      <c r="L7">
        <v>0</v>
      </c>
      <c r="M7">
        <v>5</v>
      </c>
      <c r="N7">
        <v>6</v>
      </c>
      <c r="O7">
        <v>0</v>
      </c>
      <c r="P7">
        <v>0</v>
      </c>
      <c r="Q7">
        <v>1</v>
      </c>
      <c r="R7">
        <v>1</v>
      </c>
      <c r="S7">
        <v>0</v>
      </c>
      <c r="T7">
        <v>2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4</v>
      </c>
      <c r="AB7">
        <v>4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4</v>
      </c>
      <c r="AJ7">
        <v>4</v>
      </c>
      <c r="AK7">
        <v>2</v>
      </c>
      <c r="AL7">
        <v>0</v>
      </c>
      <c r="AM7">
        <v>0</v>
      </c>
      <c r="AN7">
        <v>0</v>
      </c>
      <c r="AO7">
        <v>0</v>
      </c>
      <c r="AP7">
        <v>0</v>
      </c>
      <c r="AQ7">
        <v>4</v>
      </c>
      <c r="AR7">
        <v>4</v>
      </c>
      <c r="AS7">
        <v>2</v>
      </c>
      <c r="AT7">
        <v>0</v>
      </c>
      <c r="AU7">
        <v>0</v>
      </c>
      <c r="AV7">
        <v>0</v>
      </c>
      <c r="AW7">
        <v>0</v>
      </c>
      <c r="AX7">
        <v>0</v>
      </c>
      <c r="AY7">
        <v>4</v>
      </c>
      <c r="AZ7">
        <v>4</v>
      </c>
      <c r="BA7">
        <v>2</v>
      </c>
      <c r="BB7">
        <v>0</v>
      </c>
      <c r="BC7">
        <v>0</v>
      </c>
      <c r="BD7">
        <v>0</v>
      </c>
      <c r="BE7">
        <v>0</v>
      </c>
      <c r="BF7">
        <v>0</v>
      </c>
      <c r="BG7">
        <v>4</v>
      </c>
      <c r="BH7">
        <v>4</v>
      </c>
      <c r="BI7">
        <v>2</v>
      </c>
      <c r="BJ7">
        <v>0</v>
      </c>
      <c r="BK7">
        <v>0</v>
      </c>
      <c r="BL7">
        <v>0</v>
      </c>
      <c r="BM7">
        <v>0</v>
      </c>
      <c r="BN7">
        <v>1</v>
      </c>
      <c r="BO7">
        <v>3</v>
      </c>
      <c r="BP7">
        <v>4</v>
      </c>
      <c r="BQ7">
        <v>2</v>
      </c>
      <c r="BR7">
        <v>0</v>
      </c>
      <c r="BS7">
        <v>0</v>
      </c>
      <c r="BT7">
        <v>0</v>
      </c>
      <c r="BU7">
        <v>0</v>
      </c>
      <c r="BV7">
        <v>0</v>
      </c>
      <c r="BW7">
        <v>4</v>
      </c>
      <c r="BX7">
        <v>3</v>
      </c>
      <c r="BY7">
        <v>0</v>
      </c>
      <c r="BZ7">
        <v>0</v>
      </c>
      <c r="CA7">
        <v>0</v>
      </c>
      <c r="CB7">
        <v>2</v>
      </c>
      <c r="CC7">
        <v>3</v>
      </c>
      <c r="CD7">
        <v>1</v>
      </c>
      <c r="CE7">
        <v>4</v>
      </c>
    </row>
    <row r="8" spans="1:84" x14ac:dyDescent="0.25">
      <c r="A8">
        <v>6</v>
      </c>
      <c r="B8" t="s">
        <v>48</v>
      </c>
      <c r="C8" t="s">
        <v>49</v>
      </c>
      <c r="D8" s="1">
        <v>1</v>
      </c>
      <c r="E8">
        <v>10</v>
      </c>
      <c r="F8">
        <v>25</v>
      </c>
      <c r="G8">
        <v>1</v>
      </c>
      <c r="H8">
        <v>1</v>
      </c>
      <c r="I8">
        <v>0</v>
      </c>
      <c r="J8">
        <v>4</v>
      </c>
      <c r="K8">
        <v>0</v>
      </c>
      <c r="L8">
        <v>2</v>
      </c>
      <c r="M8">
        <v>2</v>
      </c>
      <c r="N8">
        <v>5</v>
      </c>
      <c r="O8">
        <v>0</v>
      </c>
      <c r="P8">
        <v>2</v>
      </c>
      <c r="Q8">
        <v>1</v>
      </c>
      <c r="R8">
        <v>0</v>
      </c>
      <c r="S8">
        <v>1</v>
      </c>
      <c r="T8">
        <v>1</v>
      </c>
      <c r="U8">
        <v>1</v>
      </c>
      <c r="V8">
        <v>0</v>
      </c>
      <c r="W8">
        <v>0</v>
      </c>
      <c r="X8">
        <v>1</v>
      </c>
      <c r="Y8">
        <v>1</v>
      </c>
      <c r="Z8">
        <v>1</v>
      </c>
      <c r="AA8">
        <v>1</v>
      </c>
      <c r="AB8">
        <v>5</v>
      </c>
      <c r="AC8">
        <v>1</v>
      </c>
      <c r="AD8">
        <v>0</v>
      </c>
      <c r="AE8">
        <v>0</v>
      </c>
      <c r="AF8">
        <v>1</v>
      </c>
      <c r="AG8">
        <v>1</v>
      </c>
      <c r="AH8">
        <v>0</v>
      </c>
      <c r="AI8">
        <v>3</v>
      </c>
      <c r="AJ8">
        <v>4</v>
      </c>
      <c r="AK8">
        <v>1</v>
      </c>
      <c r="AL8">
        <v>0</v>
      </c>
      <c r="AM8">
        <v>0</v>
      </c>
      <c r="AN8">
        <v>1</v>
      </c>
      <c r="AO8">
        <v>0</v>
      </c>
      <c r="AP8">
        <v>1</v>
      </c>
      <c r="AQ8">
        <v>3</v>
      </c>
      <c r="AR8">
        <v>4</v>
      </c>
      <c r="AS8">
        <v>1</v>
      </c>
      <c r="AT8">
        <v>0</v>
      </c>
      <c r="AU8">
        <v>0</v>
      </c>
      <c r="AV8">
        <v>1</v>
      </c>
      <c r="AW8">
        <v>1</v>
      </c>
      <c r="AX8">
        <v>1</v>
      </c>
      <c r="AY8">
        <v>2</v>
      </c>
      <c r="AZ8">
        <v>4</v>
      </c>
      <c r="BA8">
        <v>1</v>
      </c>
      <c r="BB8">
        <v>0</v>
      </c>
      <c r="BC8">
        <v>0</v>
      </c>
      <c r="BD8">
        <v>1</v>
      </c>
      <c r="BE8">
        <v>1</v>
      </c>
      <c r="BF8">
        <v>1</v>
      </c>
      <c r="BG8">
        <v>3</v>
      </c>
      <c r="BH8">
        <v>3</v>
      </c>
      <c r="BI8">
        <v>1</v>
      </c>
      <c r="BJ8">
        <v>0</v>
      </c>
      <c r="BK8">
        <v>0</v>
      </c>
      <c r="BL8">
        <v>1</v>
      </c>
      <c r="BM8">
        <v>1</v>
      </c>
      <c r="BN8">
        <v>1</v>
      </c>
      <c r="BO8">
        <v>3</v>
      </c>
      <c r="BP8">
        <v>3</v>
      </c>
      <c r="BQ8">
        <v>1</v>
      </c>
      <c r="BR8">
        <v>0</v>
      </c>
      <c r="BS8">
        <v>0</v>
      </c>
      <c r="BT8">
        <v>1</v>
      </c>
      <c r="BU8">
        <v>0</v>
      </c>
      <c r="BV8">
        <v>2</v>
      </c>
      <c r="BW8">
        <v>1</v>
      </c>
      <c r="BX8">
        <v>5</v>
      </c>
      <c r="BY8">
        <v>0</v>
      </c>
      <c r="BZ8">
        <v>0</v>
      </c>
      <c r="CA8">
        <v>0</v>
      </c>
      <c r="CB8">
        <v>2</v>
      </c>
      <c r="CC8">
        <v>2</v>
      </c>
      <c r="CD8">
        <v>3</v>
      </c>
      <c r="CE8">
        <v>3</v>
      </c>
    </row>
    <row r="9" spans="1:84" x14ac:dyDescent="0.25">
      <c r="A9">
        <v>7</v>
      </c>
      <c r="B9" t="s">
        <v>46</v>
      </c>
      <c r="C9" t="s">
        <v>47</v>
      </c>
      <c r="D9" s="1" t="s">
        <v>8</v>
      </c>
      <c r="E9">
        <v>38</v>
      </c>
      <c r="F9">
        <v>91</v>
      </c>
      <c r="G9">
        <v>24</v>
      </c>
      <c r="H9">
        <v>0</v>
      </c>
      <c r="I9">
        <v>4</v>
      </c>
      <c r="J9">
        <v>1</v>
      </c>
      <c r="K9">
        <v>1</v>
      </c>
      <c r="L9">
        <v>1</v>
      </c>
      <c r="M9">
        <v>3</v>
      </c>
      <c r="N9">
        <v>14</v>
      </c>
      <c r="O9">
        <v>5</v>
      </c>
      <c r="P9">
        <v>11</v>
      </c>
      <c r="Q9">
        <v>2</v>
      </c>
      <c r="R9">
        <v>2</v>
      </c>
      <c r="S9">
        <v>1</v>
      </c>
      <c r="T9">
        <v>0</v>
      </c>
      <c r="U9">
        <v>0</v>
      </c>
      <c r="V9">
        <v>0</v>
      </c>
      <c r="W9">
        <v>1</v>
      </c>
      <c r="X9">
        <v>3</v>
      </c>
      <c r="Y9">
        <v>13</v>
      </c>
      <c r="Z9">
        <v>7</v>
      </c>
      <c r="AA9">
        <v>7</v>
      </c>
      <c r="AB9">
        <v>7</v>
      </c>
      <c r="AC9">
        <v>1</v>
      </c>
      <c r="AD9">
        <v>0</v>
      </c>
      <c r="AE9">
        <v>2</v>
      </c>
      <c r="AF9">
        <v>1</v>
      </c>
      <c r="AG9">
        <v>13</v>
      </c>
      <c r="AH9">
        <v>5</v>
      </c>
      <c r="AI9">
        <v>8</v>
      </c>
      <c r="AJ9">
        <v>8</v>
      </c>
      <c r="AK9">
        <v>0</v>
      </c>
      <c r="AL9">
        <v>0</v>
      </c>
      <c r="AM9">
        <v>1</v>
      </c>
      <c r="AN9">
        <v>2</v>
      </c>
      <c r="AO9">
        <v>12</v>
      </c>
      <c r="AP9">
        <v>5</v>
      </c>
      <c r="AQ9">
        <v>5</v>
      </c>
      <c r="AR9">
        <v>13</v>
      </c>
      <c r="AS9">
        <v>6</v>
      </c>
      <c r="AT9">
        <v>0</v>
      </c>
      <c r="AU9">
        <v>0</v>
      </c>
      <c r="AV9">
        <v>5</v>
      </c>
      <c r="AW9">
        <v>11</v>
      </c>
      <c r="AX9">
        <v>3</v>
      </c>
      <c r="AY9">
        <v>5</v>
      </c>
      <c r="AZ9">
        <v>8</v>
      </c>
      <c r="BA9">
        <v>2</v>
      </c>
      <c r="BB9">
        <v>0</v>
      </c>
      <c r="BC9">
        <v>1</v>
      </c>
      <c r="BD9">
        <v>1</v>
      </c>
      <c r="BE9">
        <v>12</v>
      </c>
      <c r="BF9">
        <v>5</v>
      </c>
      <c r="BG9">
        <v>6</v>
      </c>
      <c r="BH9">
        <v>11</v>
      </c>
      <c r="BI9">
        <v>12</v>
      </c>
      <c r="BJ9">
        <v>0</v>
      </c>
      <c r="BK9">
        <v>2</v>
      </c>
      <c r="BL9">
        <v>1</v>
      </c>
      <c r="BM9">
        <v>12</v>
      </c>
      <c r="BN9">
        <v>1</v>
      </c>
      <c r="BO9">
        <v>3</v>
      </c>
      <c r="BP9">
        <v>7</v>
      </c>
      <c r="BQ9">
        <v>2</v>
      </c>
      <c r="BR9">
        <v>1</v>
      </c>
      <c r="BS9">
        <v>1</v>
      </c>
      <c r="BT9">
        <v>3</v>
      </c>
      <c r="BU9">
        <v>14</v>
      </c>
      <c r="BV9">
        <v>5</v>
      </c>
      <c r="BW9">
        <v>5</v>
      </c>
      <c r="BX9">
        <v>7</v>
      </c>
      <c r="BY9">
        <v>0</v>
      </c>
      <c r="BZ9">
        <v>1</v>
      </c>
      <c r="CA9">
        <v>1</v>
      </c>
      <c r="CB9">
        <v>15</v>
      </c>
      <c r="CC9">
        <v>10</v>
      </c>
      <c r="CD9">
        <v>5</v>
      </c>
      <c r="CE9">
        <v>4</v>
      </c>
    </row>
    <row r="10" spans="1:84" x14ac:dyDescent="0.25">
      <c r="A10">
        <v>8</v>
      </c>
      <c r="B10" t="s">
        <v>38</v>
      </c>
      <c r="C10" t="s">
        <v>44</v>
      </c>
      <c r="D10" s="1" t="s">
        <v>8</v>
      </c>
      <c r="E10">
        <v>73</v>
      </c>
      <c r="F10" s="4" t="s">
        <v>45</v>
      </c>
      <c r="G10">
        <v>1</v>
      </c>
      <c r="H10">
        <v>0</v>
      </c>
      <c r="I10">
        <v>0</v>
      </c>
      <c r="J10">
        <v>5</v>
      </c>
      <c r="K10">
        <v>8</v>
      </c>
      <c r="L10">
        <v>14</v>
      </c>
      <c r="M10">
        <v>10</v>
      </c>
      <c r="N10">
        <v>33</v>
      </c>
      <c r="O10">
        <v>6</v>
      </c>
      <c r="P10">
        <v>7</v>
      </c>
      <c r="Q10">
        <v>5</v>
      </c>
      <c r="R10">
        <v>1</v>
      </c>
      <c r="S10">
        <v>4</v>
      </c>
      <c r="T10">
        <v>12</v>
      </c>
      <c r="U10">
        <v>1</v>
      </c>
      <c r="V10">
        <v>3</v>
      </c>
      <c r="W10">
        <v>5</v>
      </c>
      <c r="X10">
        <v>2</v>
      </c>
      <c r="Y10">
        <v>10</v>
      </c>
      <c r="Z10">
        <v>9</v>
      </c>
      <c r="AA10">
        <v>13</v>
      </c>
      <c r="AB10">
        <v>25</v>
      </c>
      <c r="AC10">
        <v>1</v>
      </c>
      <c r="AD10">
        <v>3</v>
      </c>
      <c r="AE10">
        <v>5</v>
      </c>
      <c r="AF10">
        <v>1</v>
      </c>
      <c r="AG10">
        <v>10</v>
      </c>
      <c r="AH10">
        <v>10</v>
      </c>
      <c r="AI10">
        <v>14</v>
      </c>
      <c r="AJ10">
        <v>24</v>
      </c>
      <c r="AK10">
        <v>1</v>
      </c>
      <c r="AL10">
        <v>2</v>
      </c>
      <c r="AM10">
        <v>4</v>
      </c>
      <c r="AN10">
        <v>2</v>
      </c>
      <c r="AO10">
        <v>10</v>
      </c>
      <c r="AP10">
        <v>9</v>
      </c>
      <c r="AQ10">
        <v>15</v>
      </c>
      <c r="AR10">
        <v>25</v>
      </c>
      <c r="AS10">
        <v>1</v>
      </c>
      <c r="AT10">
        <v>2</v>
      </c>
      <c r="AU10">
        <v>7</v>
      </c>
      <c r="AV10">
        <v>1</v>
      </c>
      <c r="AW10">
        <v>10</v>
      </c>
      <c r="AX10">
        <v>9</v>
      </c>
      <c r="AY10">
        <v>11</v>
      </c>
      <c r="AZ10">
        <v>26</v>
      </c>
      <c r="BA10">
        <v>2</v>
      </c>
      <c r="BB10">
        <v>2</v>
      </c>
      <c r="BC10">
        <v>4</v>
      </c>
      <c r="BD10">
        <v>2</v>
      </c>
      <c r="BE10">
        <v>9</v>
      </c>
      <c r="BF10">
        <v>11</v>
      </c>
      <c r="BG10">
        <v>10</v>
      </c>
      <c r="BH10">
        <v>28</v>
      </c>
      <c r="BI10">
        <v>1</v>
      </c>
      <c r="BJ10">
        <v>3</v>
      </c>
      <c r="BK10">
        <v>4</v>
      </c>
      <c r="BL10">
        <v>1</v>
      </c>
      <c r="BM10">
        <v>11</v>
      </c>
      <c r="BN10">
        <v>10</v>
      </c>
      <c r="BO10">
        <v>10</v>
      </c>
      <c r="BP10">
        <v>28</v>
      </c>
      <c r="BQ10">
        <v>1</v>
      </c>
      <c r="BR10">
        <v>3</v>
      </c>
      <c r="BS10">
        <v>4</v>
      </c>
      <c r="BT10">
        <v>1</v>
      </c>
      <c r="BU10">
        <v>11</v>
      </c>
      <c r="BV10">
        <v>10</v>
      </c>
      <c r="BW10">
        <v>12</v>
      </c>
      <c r="BX10">
        <v>25</v>
      </c>
      <c r="BY10">
        <v>2</v>
      </c>
      <c r="BZ10">
        <v>1</v>
      </c>
      <c r="CA10">
        <v>4</v>
      </c>
      <c r="CB10">
        <v>10</v>
      </c>
      <c r="CC10">
        <v>14</v>
      </c>
      <c r="CD10">
        <v>13</v>
      </c>
      <c r="CE10">
        <v>21</v>
      </c>
    </row>
    <row r="11" spans="1:84" x14ac:dyDescent="0.25">
      <c r="A11">
        <v>9</v>
      </c>
      <c r="B11" t="s">
        <v>41</v>
      </c>
      <c r="C11" t="s">
        <v>42</v>
      </c>
      <c r="D11" s="1" t="s">
        <v>8</v>
      </c>
      <c r="E11">
        <v>48</v>
      </c>
      <c r="F11" s="4" t="s">
        <v>43</v>
      </c>
      <c r="G11">
        <v>2</v>
      </c>
      <c r="H11">
        <v>0</v>
      </c>
      <c r="I11">
        <v>1</v>
      </c>
      <c r="J11">
        <v>1</v>
      </c>
      <c r="K11">
        <v>8</v>
      </c>
      <c r="L11">
        <v>3</v>
      </c>
      <c r="M11">
        <v>30</v>
      </c>
      <c r="N11">
        <v>21</v>
      </c>
      <c r="O11">
        <v>3</v>
      </c>
      <c r="P11">
        <v>5</v>
      </c>
      <c r="Q11">
        <v>1</v>
      </c>
      <c r="R11">
        <v>4</v>
      </c>
      <c r="S11">
        <v>1</v>
      </c>
      <c r="T11">
        <v>8</v>
      </c>
      <c r="U11">
        <v>5</v>
      </c>
      <c r="V11">
        <v>1</v>
      </c>
      <c r="W11">
        <v>0</v>
      </c>
      <c r="X11">
        <v>0</v>
      </c>
      <c r="Y11">
        <v>7</v>
      </c>
      <c r="Z11">
        <v>4</v>
      </c>
      <c r="AA11">
        <v>11</v>
      </c>
      <c r="AB11">
        <v>16</v>
      </c>
      <c r="AC11">
        <v>5</v>
      </c>
      <c r="AD11">
        <v>1</v>
      </c>
      <c r="AE11">
        <v>0</v>
      </c>
      <c r="AF11">
        <v>2</v>
      </c>
      <c r="AG11">
        <v>7</v>
      </c>
      <c r="AH11">
        <v>3</v>
      </c>
      <c r="AI11">
        <v>10</v>
      </c>
      <c r="AJ11">
        <v>15</v>
      </c>
      <c r="AK11">
        <v>6</v>
      </c>
      <c r="AL11">
        <v>1</v>
      </c>
      <c r="AM11">
        <v>0</v>
      </c>
      <c r="AN11">
        <v>0</v>
      </c>
      <c r="AO11">
        <v>2</v>
      </c>
      <c r="AP11">
        <v>6</v>
      </c>
      <c r="AQ11">
        <v>9</v>
      </c>
      <c r="AR11">
        <v>18</v>
      </c>
      <c r="AS11">
        <v>5</v>
      </c>
      <c r="AT11">
        <v>1</v>
      </c>
      <c r="AU11">
        <v>1</v>
      </c>
      <c r="AV11">
        <v>1</v>
      </c>
      <c r="AW11">
        <v>4</v>
      </c>
      <c r="AX11">
        <v>8</v>
      </c>
      <c r="AY11">
        <v>9</v>
      </c>
      <c r="AZ11">
        <v>14</v>
      </c>
      <c r="BA11">
        <v>6</v>
      </c>
      <c r="BB11">
        <v>1</v>
      </c>
      <c r="BC11">
        <v>0</v>
      </c>
      <c r="BD11">
        <v>0</v>
      </c>
      <c r="BE11">
        <v>2</v>
      </c>
      <c r="BF11">
        <v>2</v>
      </c>
      <c r="BG11">
        <v>8</v>
      </c>
      <c r="BH11">
        <v>22</v>
      </c>
      <c r="BI11">
        <v>4</v>
      </c>
      <c r="BJ11">
        <v>1</v>
      </c>
      <c r="BK11">
        <v>1</v>
      </c>
      <c r="BL11">
        <v>1</v>
      </c>
      <c r="BM11">
        <v>5</v>
      </c>
      <c r="BN11">
        <v>7</v>
      </c>
      <c r="BO11">
        <v>10</v>
      </c>
      <c r="BP11">
        <v>13</v>
      </c>
      <c r="BQ11">
        <v>6</v>
      </c>
      <c r="BR11">
        <v>1</v>
      </c>
      <c r="BS11">
        <v>0</v>
      </c>
      <c r="BT11">
        <v>1</v>
      </c>
      <c r="BU11">
        <v>6</v>
      </c>
      <c r="BV11">
        <v>5</v>
      </c>
      <c r="BW11">
        <v>8</v>
      </c>
      <c r="BX11">
        <v>15</v>
      </c>
      <c r="BY11">
        <v>0</v>
      </c>
      <c r="BZ11">
        <v>1</v>
      </c>
      <c r="CA11">
        <v>1</v>
      </c>
      <c r="CB11">
        <v>8</v>
      </c>
      <c r="CC11">
        <v>11</v>
      </c>
      <c r="CD11">
        <v>10</v>
      </c>
      <c r="CE11">
        <v>12</v>
      </c>
    </row>
    <row r="12" spans="1:84" x14ac:dyDescent="0.25">
      <c r="A12">
        <v>10</v>
      </c>
      <c r="B12" t="s">
        <v>38</v>
      </c>
      <c r="C12" t="s">
        <v>39</v>
      </c>
      <c r="D12" s="1" t="s">
        <v>8</v>
      </c>
      <c r="E12">
        <v>45</v>
      </c>
      <c r="F12" s="4" t="s">
        <v>40</v>
      </c>
      <c r="G12">
        <v>4</v>
      </c>
      <c r="H12">
        <v>0</v>
      </c>
      <c r="I12">
        <v>0</v>
      </c>
      <c r="J12">
        <v>0</v>
      </c>
      <c r="K12">
        <v>1</v>
      </c>
      <c r="L12">
        <v>7</v>
      </c>
      <c r="M12">
        <v>32</v>
      </c>
      <c r="N12">
        <v>28</v>
      </c>
      <c r="O12">
        <v>3</v>
      </c>
      <c r="P12">
        <v>5</v>
      </c>
      <c r="Q12">
        <v>1</v>
      </c>
      <c r="R12">
        <v>1</v>
      </c>
      <c r="S12">
        <v>1</v>
      </c>
      <c r="T12">
        <v>5</v>
      </c>
      <c r="U12">
        <v>4</v>
      </c>
      <c r="V12">
        <v>0</v>
      </c>
      <c r="W12">
        <v>0</v>
      </c>
      <c r="X12">
        <v>2</v>
      </c>
      <c r="Y12">
        <v>6</v>
      </c>
      <c r="Z12">
        <v>4</v>
      </c>
      <c r="AA12">
        <v>16</v>
      </c>
      <c r="AB12">
        <v>12</v>
      </c>
      <c r="AC12">
        <v>3</v>
      </c>
      <c r="AD12">
        <v>1</v>
      </c>
      <c r="AE12">
        <v>1</v>
      </c>
      <c r="AF12">
        <v>1</v>
      </c>
      <c r="AG12">
        <v>8</v>
      </c>
      <c r="AH12">
        <v>5</v>
      </c>
      <c r="AI12">
        <v>11</v>
      </c>
      <c r="AJ12">
        <v>14</v>
      </c>
      <c r="AK12">
        <v>4</v>
      </c>
      <c r="AL12">
        <v>2</v>
      </c>
      <c r="AM12">
        <v>0</v>
      </c>
      <c r="AN12">
        <v>2</v>
      </c>
      <c r="AO12">
        <v>6</v>
      </c>
      <c r="AP12">
        <v>5</v>
      </c>
      <c r="AQ12">
        <v>10</v>
      </c>
      <c r="AR12">
        <v>15</v>
      </c>
      <c r="AS12">
        <v>3</v>
      </c>
      <c r="AT12">
        <v>2</v>
      </c>
      <c r="AU12">
        <v>0</v>
      </c>
      <c r="AV12">
        <v>1</v>
      </c>
      <c r="AW12">
        <v>9</v>
      </c>
      <c r="AX12">
        <v>7</v>
      </c>
      <c r="AY12">
        <v>10</v>
      </c>
      <c r="AZ12">
        <v>11</v>
      </c>
      <c r="BA12">
        <v>3</v>
      </c>
      <c r="BB12">
        <v>0</v>
      </c>
      <c r="BC12">
        <v>0</v>
      </c>
      <c r="BD12">
        <v>1</v>
      </c>
      <c r="BE12">
        <v>8</v>
      </c>
      <c r="BF12">
        <v>5</v>
      </c>
      <c r="BG12">
        <v>8</v>
      </c>
      <c r="BH12">
        <v>18</v>
      </c>
      <c r="BI12">
        <v>4</v>
      </c>
      <c r="BJ12">
        <v>2</v>
      </c>
      <c r="BK12">
        <v>0</v>
      </c>
      <c r="BL12">
        <v>2</v>
      </c>
      <c r="BM12">
        <v>5</v>
      </c>
      <c r="BN12">
        <v>5</v>
      </c>
      <c r="BO12">
        <v>11</v>
      </c>
      <c r="BP12">
        <v>15</v>
      </c>
      <c r="BQ12">
        <v>4</v>
      </c>
      <c r="BR12">
        <v>1</v>
      </c>
      <c r="BS12">
        <v>3</v>
      </c>
      <c r="BT12">
        <v>1</v>
      </c>
      <c r="BU12">
        <v>8</v>
      </c>
      <c r="BV12">
        <v>1</v>
      </c>
      <c r="BW12">
        <v>15</v>
      </c>
      <c r="BX12">
        <v>11</v>
      </c>
      <c r="BY12">
        <v>2</v>
      </c>
      <c r="BZ12">
        <v>1</v>
      </c>
      <c r="CA12">
        <v>1</v>
      </c>
      <c r="CB12">
        <v>9</v>
      </c>
      <c r="CC12">
        <v>8</v>
      </c>
      <c r="CD12">
        <v>13</v>
      </c>
      <c r="CE12">
        <v>8</v>
      </c>
    </row>
    <row r="13" spans="1:84" x14ac:dyDescent="0.25">
      <c r="A13">
        <v>11</v>
      </c>
      <c r="B13" t="s">
        <v>36</v>
      </c>
      <c r="C13" t="s">
        <v>37</v>
      </c>
      <c r="D13" s="1" t="s">
        <v>8</v>
      </c>
      <c r="E13">
        <v>43</v>
      </c>
      <c r="F13">
        <v>79</v>
      </c>
      <c r="G13">
        <v>1</v>
      </c>
      <c r="H13">
        <v>0</v>
      </c>
      <c r="I13">
        <v>0</v>
      </c>
      <c r="J13">
        <v>0</v>
      </c>
      <c r="K13">
        <v>4</v>
      </c>
      <c r="L13">
        <v>10</v>
      </c>
      <c r="M13">
        <v>28</v>
      </c>
      <c r="N13">
        <v>13</v>
      </c>
      <c r="O13">
        <v>11</v>
      </c>
      <c r="P13">
        <v>11</v>
      </c>
      <c r="Q13">
        <v>4</v>
      </c>
      <c r="R13">
        <v>0</v>
      </c>
      <c r="S13">
        <v>0</v>
      </c>
      <c r="T13">
        <v>2</v>
      </c>
      <c r="U13">
        <v>0</v>
      </c>
      <c r="V13">
        <v>3</v>
      </c>
      <c r="W13">
        <v>0</v>
      </c>
      <c r="X13">
        <v>4</v>
      </c>
      <c r="Y13">
        <v>8</v>
      </c>
      <c r="Z13">
        <v>6</v>
      </c>
      <c r="AA13">
        <v>9</v>
      </c>
      <c r="AB13">
        <v>13</v>
      </c>
      <c r="AC13">
        <v>0</v>
      </c>
      <c r="AD13">
        <v>4</v>
      </c>
      <c r="AE13">
        <v>2</v>
      </c>
      <c r="AF13">
        <v>2</v>
      </c>
      <c r="AG13">
        <v>15</v>
      </c>
      <c r="AH13">
        <v>4</v>
      </c>
      <c r="AI13">
        <v>8</v>
      </c>
      <c r="AJ13">
        <v>8</v>
      </c>
      <c r="AK13">
        <v>0</v>
      </c>
      <c r="AL13">
        <v>4</v>
      </c>
      <c r="AM13">
        <v>0</v>
      </c>
      <c r="AN13">
        <v>4</v>
      </c>
      <c r="AO13">
        <v>9</v>
      </c>
      <c r="AP13">
        <v>3</v>
      </c>
      <c r="AQ13">
        <v>6</v>
      </c>
      <c r="AR13">
        <v>17</v>
      </c>
      <c r="AS13">
        <v>0</v>
      </c>
      <c r="AT13">
        <v>6</v>
      </c>
      <c r="AU13">
        <v>5</v>
      </c>
      <c r="AV13">
        <v>5</v>
      </c>
      <c r="AW13">
        <v>10</v>
      </c>
      <c r="AX13">
        <v>3</v>
      </c>
      <c r="AY13">
        <v>7</v>
      </c>
      <c r="AZ13">
        <v>7</v>
      </c>
      <c r="BA13">
        <v>1</v>
      </c>
      <c r="BB13">
        <v>4</v>
      </c>
      <c r="BC13">
        <v>0</v>
      </c>
      <c r="BD13">
        <v>0</v>
      </c>
      <c r="BE13">
        <v>4</v>
      </c>
      <c r="BF13">
        <v>2</v>
      </c>
      <c r="BG13">
        <v>7</v>
      </c>
      <c r="BH13">
        <v>24</v>
      </c>
      <c r="BI13">
        <v>0</v>
      </c>
      <c r="BJ13">
        <v>8</v>
      </c>
      <c r="BK13">
        <v>8</v>
      </c>
      <c r="BL13">
        <v>2</v>
      </c>
      <c r="BM13">
        <v>6</v>
      </c>
      <c r="BN13">
        <v>5</v>
      </c>
      <c r="BO13">
        <v>5</v>
      </c>
      <c r="BP13">
        <v>9</v>
      </c>
      <c r="BQ13">
        <v>2</v>
      </c>
      <c r="BR13">
        <v>10</v>
      </c>
      <c r="BS13">
        <v>3</v>
      </c>
      <c r="BT13">
        <v>4</v>
      </c>
      <c r="BU13">
        <v>9</v>
      </c>
      <c r="BV13">
        <v>3</v>
      </c>
      <c r="BW13">
        <v>5</v>
      </c>
      <c r="BX13">
        <v>7</v>
      </c>
      <c r="BY13">
        <v>3</v>
      </c>
      <c r="BZ13">
        <v>2</v>
      </c>
      <c r="CA13">
        <v>7</v>
      </c>
      <c r="CB13">
        <v>12</v>
      </c>
      <c r="CC13">
        <v>5</v>
      </c>
      <c r="CD13">
        <v>7</v>
      </c>
      <c r="CE13">
        <v>7</v>
      </c>
    </row>
    <row r="14" spans="1:84" x14ac:dyDescent="0.25">
      <c r="A14">
        <v>12</v>
      </c>
      <c r="B14" t="s">
        <v>34</v>
      </c>
      <c r="C14" t="s">
        <v>35</v>
      </c>
      <c r="D14" s="1" t="s">
        <v>8</v>
      </c>
      <c r="E14">
        <v>13</v>
      </c>
      <c r="F14">
        <v>40</v>
      </c>
      <c r="G14">
        <v>7</v>
      </c>
      <c r="H14">
        <v>1</v>
      </c>
      <c r="I14">
        <v>0</v>
      </c>
      <c r="J14">
        <v>0</v>
      </c>
      <c r="K14">
        <v>0</v>
      </c>
      <c r="L14">
        <v>1</v>
      </c>
      <c r="M14">
        <v>4</v>
      </c>
      <c r="N14">
        <v>7</v>
      </c>
      <c r="O14">
        <v>1</v>
      </c>
      <c r="P14">
        <v>1</v>
      </c>
      <c r="Q14">
        <v>0</v>
      </c>
      <c r="R14">
        <v>0</v>
      </c>
      <c r="S14">
        <v>1</v>
      </c>
      <c r="T14">
        <v>3</v>
      </c>
      <c r="U14">
        <v>0</v>
      </c>
      <c r="V14">
        <v>0</v>
      </c>
      <c r="W14">
        <v>0</v>
      </c>
      <c r="X14">
        <v>0</v>
      </c>
      <c r="Y14">
        <v>2</v>
      </c>
      <c r="Z14">
        <v>1</v>
      </c>
      <c r="AA14">
        <v>1</v>
      </c>
      <c r="AB14">
        <v>9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1</v>
      </c>
      <c r="AI14">
        <v>2</v>
      </c>
      <c r="AJ14">
        <v>8</v>
      </c>
      <c r="AK14">
        <v>1</v>
      </c>
      <c r="AL14">
        <v>0</v>
      </c>
      <c r="AM14">
        <v>0</v>
      </c>
      <c r="AN14">
        <v>0</v>
      </c>
      <c r="AO14">
        <v>3</v>
      </c>
      <c r="AP14">
        <v>0</v>
      </c>
      <c r="AQ14">
        <v>1</v>
      </c>
      <c r="AR14">
        <v>8</v>
      </c>
      <c r="AS14">
        <v>0</v>
      </c>
      <c r="AT14">
        <v>0</v>
      </c>
      <c r="AU14">
        <v>0</v>
      </c>
      <c r="AV14">
        <v>0</v>
      </c>
      <c r="AW14">
        <v>3</v>
      </c>
      <c r="AX14">
        <v>0</v>
      </c>
      <c r="AY14">
        <v>0</v>
      </c>
      <c r="AZ14">
        <v>10</v>
      </c>
      <c r="BA14">
        <v>1</v>
      </c>
      <c r="BB14">
        <v>0</v>
      </c>
      <c r="BC14">
        <v>0</v>
      </c>
      <c r="BD14">
        <v>0</v>
      </c>
      <c r="BE14">
        <v>3</v>
      </c>
      <c r="BF14">
        <v>0</v>
      </c>
      <c r="BG14">
        <v>0</v>
      </c>
      <c r="BH14">
        <v>9</v>
      </c>
      <c r="BI14">
        <v>1</v>
      </c>
      <c r="BJ14">
        <v>0</v>
      </c>
      <c r="BK14">
        <v>1</v>
      </c>
      <c r="BL14">
        <v>0</v>
      </c>
      <c r="BM14">
        <v>2</v>
      </c>
      <c r="BN14">
        <v>0</v>
      </c>
      <c r="BO14">
        <v>0</v>
      </c>
      <c r="BP14">
        <v>9</v>
      </c>
      <c r="BQ14">
        <v>0</v>
      </c>
      <c r="BR14">
        <v>0</v>
      </c>
      <c r="BS14">
        <v>0</v>
      </c>
      <c r="BT14">
        <v>0</v>
      </c>
      <c r="BU14">
        <v>2</v>
      </c>
      <c r="BV14">
        <v>1</v>
      </c>
      <c r="BW14">
        <v>0</v>
      </c>
      <c r="BX14">
        <v>10</v>
      </c>
      <c r="BY14">
        <v>0</v>
      </c>
      <c r="BZ14">
        <v>0</v>
      </c>
      <c r="CA14">
        <v>2</v>
      </c>
      <c r="CB14">
        <v>2</v>
      </c>
      <c r="CC14">
        <v>1</v>
      </c>
      <c r="CD14">
        <v>2</v>
      </c>
      <c r="CE14">
        <v>6</v>
      </c>
    </row>
    <row r="15" spans="1:84" x14ac:dyDescent="0.25">
      <c r="A15">
        <v>13</v>
      </c>
      <c r="B15" t="s">
        <v>32</v>
      </c>
      <c r="C15" t="s">
        <v>33</v>
      </c>
      <c r="D15" s="1" t="s">
        <v>8</v>
      </c>
      <c r="E15">
        <v>79</v>
      </c>
      <c r="F15">
        <v>120</v>
      </c>
      <c r="G15">
        <v>2</v>
      </c>
      <c r="H15">
        <v>4</v>
      </c>
      <c r="I15">
        <v>19</v>
      </c>
      <c r="J15">
        <v>16</v>
      </c>
      <c r="K15">
        <v>12</v>
      </c>
      <c r="L15">
        <v>3</v>
      </c>
      <c r="M15">
        <v>23</v>
      </c>
      <c r="N15">
        <v>46</v>
      </c>
      <c r="O15">
        <v>7</v>
      </c>
      <c r="P15">
        <v>9</v>
      </c>
      <c r="Q15">
        <v>8</v>
      </c>
      <c r="R15">
        <v>5</v>
      </c>
      <c r="S15">
        <v>0</v>
      </c>
      <c r="T15">
        <v>3</v>
      </c>
      <c r="U15">
        <v>1</v>
      </c>
      <c r="V15">
        <v>3</v>
      </c>
      <c r="W15">
        <v>3</v>
      </c>
      <c r="X15">
        <v>7</v>
      </c>
      <c r="Y15">
        <v>27</v>
      </c>
      <c r="Z15">
        <v>10</v>
      </c>
      <c r="AA15">
        <v>7</v>
      </c>
      <c r="AB15">
        <v>19</v>
      </c>
      <c r="AC15">
        <v>3</v>
      </c>
      <c r="AD15">
        <v>2</v>
      </c>
      <c r="AE15">
        <v>2</v>
      </c>
      <c r="AF15">
        <v>5</v>
      </c>
      <c r="AG15">
        <v>23</v>
      </c>
      <c r="AH15">
        <v>12</v>
      </c>
      <c r="AI15">
        <v>11</v>
      </c>
      <c r="AJ15">
        <v>18</v>
      </c>
      <c r="AK15">
        <v>2</v>
      </c>
      <c r="AL15">
        <v>1</v>
      </c>
      <c r="AM15">
        <v>2</v>
      </c>
      <c r="AN15">
        <v>1</v>
      </c>
      <c r="AO15">
        <v>18</v>
      </c>
      <c r="AP15">
        <v>18</v>
      </c>
      <c r="AQ15">
        <v>12</v>
      </c>
      <c r="AR15">
        <v>23</v>
      </c>
      <c r="AS15">
        <v>2</v>
      </c>
      <c r="AT15">
        <v>1</v>
      </c>
      <c r="AU15">
        <v>2</v>
      </c>
      <c r="AV15">
        <v>5</v>
      </c>
      <c r="AW15">
        <v>20</v>
      </c>
      <c r="AX15">
        <v>14</v>
      </c>
      <c r="AY15">
        <v>11</v>
      </c>
      <c r="AZ15">
        <v>22</v>
      </c>
      <c r="BA15">
        <v>3</v>
      </c>
      <c r="BB15">
        <v>1</v>
      </c>
      <c r="BC15">
        <v>0</v>
      </c>
      <c r="BD15">
        <v>2</v>
      </c>
      <c r="BE15">
        <v>18</v>
      </c>
      <c r="BF15">
        <v>9</v>
      </c>
      <c r="BG15">
        <v>14</v>
      </c>
      <c r="BH15">
        <v>30</v>
      </c>
      <c r="BI15">
        <v>1</v>
      </c>
      <c r="BJ15">
        <v>3</v>
      </c>
      <c r="BK15">
        <v>4</v>
      </c>
      <c r="BL15">
        <v>7</v>
      </c>
      <c r="BM15">
        <v>26</v>
      </c>
      <c r="BN15">
        <v>9</v>
      </c>
      <c r="BO15">
        <v>10</v>
      </c>
      <c r="BP15">
        <v>17</v>
      </c>
      <c r="BQ15">
        <v>4</v>
      </c>
      <c r="BR15">
        <v>2</v>
      </c>
      <c r="BS15">
        <v>4</v>
      </c>
      <c r="BT15">
        <v>3</v>
      </c>
      <c r="BU15">
        <v>22</v>
      </c>
      <c r="BV15">
        <v>9</v>
      </c>
      <c r="BW15">
        <v>10</v>
      </c>
      <c r="BX15">
        <v>22</v>
      </c>
      <c r="BY15">
        <v>1</v>
      </c>
      <c r="BZ15">
        <v>1</v>
      </c>
      <c r="CA15">
        <v>6</v>
      </c>
      <c r="CB15">
        <v>24</v>
      </c>
      <c r="CC15">
        <v>15</v>
      </c>
      <c r="CD15">
        <v>15</v>
      </c>
      <c r="CE15">
        <v>13</v>
      </c>
    </row>
    <row r="16" spans="1:84" x14ac:dyDescent="0.25">
      <c r="A16">
        <v>14</v>
      </c>
      <c r="B16" t="s">
        <v>6</v>
      </c>
      <c r="C16" t="s">
        <v>7</v>
      </c>
      <c r="D16" s="1" t="s">
        <v>8</v>
      </c>
      <c r="E16">
        <v>42</v>
      </c>
      <c r="F16">
        <v>68</v>
      </c>
      <c r="G16">
        <v>4</v>
      </c>
      <c r="H16">
        <v>1</v>
      </c>
      <c r="I16">
        <v>1</v>
      </c>
      <c r="J16">
        <v>9</v>
      </c>
      <c r="K16">
        <v>2</v>
      </c>
      <c r="L16">
        <v>3</v>
      </c>
      <c r="M16">
        <v>22</v>
      </c>
      <c r="N16">
        <v>12</v>
      </c>
      <c r="O16">
        <v>4</v>
      </c>
      <c r="P16">
        <v>9</v>
      </c>
      <c r="Q16">
        <v>4</v>
      </c>
      <c r="R16">
        <v>2</v>
      </c>
      <c r="S16">
        <v>1</v>
      </c>
      <c r="T16">
        <v>9</v>
      </c>
      <c r="U16">
        <v>1</v>
      </c>
      <c r="V16">
        <v>0</v>
      </c>
      <c r="W16">
        <v>1</v>
      </c>
      <c r="X16">
        <v>0</v>
      </c>
      <c r="Y16">
        <v>4</v>
      </c>
      <c r="Z16">
        <v>4</v>
      </c>
      <c r="AA16">
        <v>10</v>
      </c>
      <c r="AB16">
        <v>21</v>
      </c>
      <c r="AC16">
        <v>2</v>
      </c>
      <c r="AD16">
        <v>0</v>
      </c>
      <c r="AE16">
        <v>1</v>
      </c>
      <c r="AF16">
        <v>0</v>
      </c>
      <c r="AG16">
        <v>3</v>
      </c>
      <c r="AH16">
        <v>4</v>
      </c>
      <c r="AI16">
        <v>9</v>
      </c>
      <c r="AJ16">
        <v>22</v>
      </c>
      <c r="AK16">
        <v>1</v>
      </c>
      <c r="AL16">
        <v>0</v>
      </c>
      <c r="AM16">
        <v>1</v>
      </c>
      <c r="AN16">
        <v>0</v>
      </c>
      <c r="AO16">
        <v>2</v>
      </c>
      <c r="AP16">
        <v>2</v>
      </c>
      <c r="AQ16">
        <v>5</v>
      </c>
      <c r="AR16">
        <v>30</v>
      </c>
      <c r="AS16">
        <v>1</v>
      </c>
      <c r="AT16">
        <v>0</v>
      </c>
      <c r="AU16">
        <v>1</v>
      </c>
      <c r="AV16">
        <v>0</v>
      </c>
      <c r="AW16">
        <v>3</v>
      </c>
      <c r="AX16">
        <v>3</v>
      </c>
      <c r="AY16">
        <v>7</v>
      </c>
      <c r="AZ16">
        <v>25</v>
      </c>
      <c r="BA16">
        <v>2</v>
      </c>
      <c r="BB16">
        <v>0</v>
      </c>
      <c r="BC16">
        <v>1</v>
      </c>
      <c r="BD16">
        <v>0</v>
      </c>
      <c r="BE16">
        <v>3</v>
      </c>
      <c r="BF16">
        <v>1</v>
      </c>
      <c r="BG16">
        <v>7</v>
      </c>
      <c r="BH16">
        <v>26</v>
      </c>
      <c r="BI16">
        <v>2</v>
      </c>
      <c r="BJ16">
        <v>0</v>
      </c>
      <c r="BK16">
        <v>1</v>
      </c>
      <c r="BL16">
        <v>0</v>
      </c>
      <c r="BM16">
        <v>2</v>
      </c>
      <c r="BN16">
        <v>3</v>
      </c>
      <c r="BO16">
        <v>8</v>
      </c>
      <c r="BP16">
        <v>25</v>
      </c>
      <c r="BQ16">
        <v>1</v>
      </c>
      <c r="BR16">
        <v>0</v>
      </c>
      <c r="BS16">
        <v>1</v>
      </c>
      <c r="BT16">
        <v>0</v>
      </c>
      <c r="BU16">
        <v>3</v>
      </c>
      <c r="BV16">
        <v>2</v>
      </c>
      <c r="BW16">
        <v>7</v>
      </c>
      <c r="BX16">
        <v>27</v>
      </c>
      <c r="BY16">
        <v>0</v>
      </c>
      <c r="BZ16">
        <v>0</v>
      </c>
      <c r="CA16">
        <v>0</v>
      </c>
      <c r="CB16">
        <v>3</v>
      </c>
      <c r="CC16">
        <v>2</v>
      </c>
      <c r="CD16">
        <v>9</v>
      </c>
      <c r="CE16">
        <v>26</v>
      </c>
    </row>
    <row r="17" spans="1:83" x14ac:dyDescent="0.25">
      <c r="A17">
        <v>15</v>
      </c>
      <c r="B17" t="s">
        <v>6</v>
      </c>
      <c r="C17" t="s">
        <v>90</v>
      </c>
      <c r="D17" s="1" t="s">
        <v>8</v>
      </c>
      <c r="E17">
        <v>19</v>
      </c>
      <c r="F17">
        <v>45</v>
      </c>
      <c r="G17">
        <v>1</v>
      </c>
      <c r="H17">
        <v>1</v>
      </c>
      <c r="I17">
        <v>7</v>
      </c>
      <c r="J17">
        <v>2</v>
      </c>
      <c r="K17">
        <v>2</v>
      </c>
      <c r="L17">
        <v>0</v>
      </c>
      <c r="M17">
        <v>2</v>
      </c>
      <c r="N17">
        <v>13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</v>
      </c>
      <c r="Z17">
        <v>2</v>
      </c>
      <c r="AA17">
        <v>6</v>
      </c>
      <c r="AB17">
        <v>7</v>
      </c>
      <c r="AC17">
        <v>0</v>
      </c>
      <c r="AD17">
        <v>0</v>
      </c>
      <c r="AE17">
        <v>0</v>
      </c>
      <c r="AF17">
        <v>0</v>
      </c>
      <c r="AG17">
        <v>3</v>
      </c>
      <c r="AH17">
        <v>2</v>
      </c>
      <c r="AI17">
        <v>5</v>
      </c>
      <c r="AJ17">
        <v>7</v>
      </c>
      <c r="AK17">
        <v>0</v>
      </c>
      <c r="AL17">
        <v>0</v>
      </c>
      <c r="AM17">
        <v>0</v>
      </c>
      <c r="AN17">
        <v>0</v>
      </c>
      <c r="AO17">
        <v>2</v>
      </c>
      <c r="AP17">
        <v>2</v>
      </c>
      <c r="AQ17">
        <v>2</v>
      </c>
      <c r="AR17">
        <v>11</v>
      </c>
      <c r="AS17">
        <v>0</v>
      </c>
      <c r="AT17">
        <v>0</v>
      </c>
      <c r="AU17">
        <v>0</v>
      </c>
      <c r="AV17">
        <v>0</v>
      </c>
      <c r="AW17">
        <v>2</v>
      </c>
      <c r="AX17">
        <v>3</v>
      </c>
      <c r="AY17">
        <v>4</v>
      </c>
      <c r="AZ17">
        <v>8</v>
      </c>
      <c r="BA17">
        <v>0</v>
      </c>
      <c r="BB17">
        <v>0</v>
      </c>
      <c r="BC17">
        <v>0</v>
      </c>
      <c r="BD17">
        <v>0</v>
      </c>
      <c r="BE17">
        <v>3</v>
      </c>
      <c r="BF17">
        <v>1</v>
      </c>
      <c r="BG17">
        <v>4</v>
      </c>
      <c r="BH17">
        <v>9</v>
      </c>
      <c r="BI17">
        <v>0</v>
      </c>
      <c r="BJ17">
        <v>0</v>
      </c>
      <c r="BK17">
        <v>1</v>
      </c>
      <c r="BL17">
        <v>0</v>
      </c>
      <c r="BM17">
        <v>2</v>
      </c>
      <c r="BN17">
        <v>1</v>
      </c>
      <c r="BO17">
        <v>4</v>
      </c>
      <c r="BP17">
        <v>9</v>
      </c>
      <c r="BQ17">
        <v>0</v>
      </c>
      <c r="BR17">
        <v>0</v>
      </c>
      <c r="BS17">
        <v>0</v>
      </c>
      <c r="BT17">
        <v>1</v>
      </c>
      <c r="BU17">
        <v>2</v>
      </c>
      <c r="BV17">
        <v>1</v>
      </c>
      <c r="BW17">
        <v>4</v>
      </c>
      <c r="BX17">
        <v>9</v>
      </c>
      <c r="BY17">
        <v>0</v>
      </c>
      <c r="BZ17">
        <v>0</v>
      </c>
      <c r="CA17">
        <v>1</v>
      </c>
      <c r="CB17">
        <v>2</v>
      </c>
      <c r="CC17">
        <v>3</v>
      </c>
      <c r="CD17">
        <v>11</v>
      </c>
      <c r="CE17" s="4" t="s">
        <v>91</v>
      </c>
    </row>
  </sheetData>
  <autoFilter ref="A2:CE2" xr:uid="{7AB0FBC2-D71F-41BD-B801-77B9FEE7856E}">
    <sortState xmlns:xlrd2="http://schemas.microsoft.com/office/spreadsheetml/2017/richdata2" ref="A3:CE16">
      <sortCondition ref="A2"/>
    </sortState>
  </autoFilter>
  <mergeCells count="10">
    <mergeCell ref="BA1:BH1"/>
    <mergeCell ref="BI1:BP1"/>
    <mergeCell ref="BQ1:BX1"/>
    <mergeCell ref="BY1:CE1"/>
    <mergeCell ref="G1:M1"/>
    <mergeCell ref="N1:T1"/>
    <mergeCell ref="U1:AB1"/>
    <mergeCell ref="AC1:AJ1"/>
    <mergeCell ref="AK1:AR1"/>
    <mergeCell ref="AS1:AZ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A0653-D57E-4B2E-9987-8A3FBD61A7B8}">
  <dimension ref="A1:CF13"/>
  <sheetViews>
    <sheetView workbookViewId="0">
      <selection activeCell="H4" sqref="H4"/>
    </sheetView>
  </sheetViews>
  <sheetFormatPr defaultRowHeight="15" x14ac:dyDescent="0.25"/>
  <cols>
    <col min="1" max="1" width="7.85546875" customWidth="1"/>
    <col min="2" max="2" width="13.5703125" customWidth="1"/>
    <col min="3" max="3" width="12.28515625" customWidth="1"/>
    <col min="4" max="4" width="9.85546875" customWidth="1"/>
    <col min="5" max="5" width="11.28515625" customWidth="1"/>
    <col min="6" max="6" width="15.28515625" customWidth="1"/>
    <col min="7" max="7" width="11.28515625" customWidth="1"/>
    <col min="9" max="9" width="9.85546875" customWidth="1"/>
    <col min="10" max="10" width="10.5703125" customWidth="1"/>
    <col min="11" max="11" width="10.7109375" customWidth="1"/>
    <col min="12" max="12" width="10" customWidth="1"/>
    <col min="13" max="13" width="11.140625" customWidth="1"/>
  </cols>
  <sheetData>
    <row r="1" spans="1:84" ht="35.25" customHeight="1" x14ac:dyDescent="0.25">
      <c r="G1" s="22" t="s">
        <v>15</v>
      </c>
      <c r="H1" s="22"/>
      <c r="I1" s="22"/>
      <c r="J1" s="22"/>
      <c r="K1" s="22"/>
      <c r="L1" s="22"/>
      <c r="M1" s="22"/>
      <c r="N1" s="24" t="s">
        <v>16</v>
      </c>
      <c r="O1" s="24"/>
      <c r="P1" s="24"/>
      <c r="Q1" s="24"/>
      <c r="R1" s="24"/>
      <c r="S1" s="24"/>
      <c r="T1" s="24"/>
      <c r="U1" s="22" t="s">
        <v>18</v>
      </c>
      <c r="V1" s="22"/>
      <c r="W1" s="22"/>
      <c r="X1" s="22"/>
      <c r="Y1" s="22"/>
      <c r="Z1" s="22"/>
      <c r="AA1" s="22"/>
      <c r="AB1" s="22"/>
      <c r="AC1" s="22" t="s">
        <v>19</v>
      </c>
      <c r="AD1" s="22"/>
      <c r="AE1" s="22"/>
      <c r="AF1" s="22"/>
      <c r="AG1" s="22"/>
      <c r="AH1" s="22"/>
      <c r="AI1" s="22"/>
      <c r="AJ1" s="22"/>
      <c r="AK1" s="22" t="s">
        <v>50</v>
      </c>
      <c r="AL1" s="22"/>
      <c r="AM1" s="22"/>
      <c r="AN1" s="22"/>
      <c r="AO1" s="22"/>
      <c r="AP1" s="22"/>
      <c r="AQ1" s="22"/>
      <c r="AR1" s="22"/>
      <c r="AS1" s="22" t="s">
        <v>20</v>
      </c>
      <c r="AT1" s="22"/>
      <c r="AU1" s="22"/>
      <c r="AV1" s="22"/>
      <c r="AW1" s="22"/>
      <c r="AX1" s="22"/>
      <c r="AY1" s="22"/>
      <c r="AZ1" s="22"/>
      <c r="BA1" s="22" t="s">
        <v>21</v>
      </c>
      <c r="BB1" s="22"/>
      <c r="BC1" s="22"/>
      <c r="BD1" s="22"/>
      <c r="BE1" s="22"/>
      <c r="BF1" s="22"/>
      <c r="BG1" s="22"/>
      <c r="BH1" s="22"/>
      <c r="BI1" s="22" t="s">
        <v>22</v>
      </c>
      <c r="BJ1" s="22"/>
      <c r="BK1" s="22"/>
      <c r="BL1" s="22"/>
      <c r="BM1" s="22"/>
      <c r="BN1" s="22"/>
      <c r="BO1" s="22"/>
      <c r="BP1" s="22"/>
      <c r="BQ1" s="22" t="s">
        <v>23</v>
      </c>
      <c r="BR1" s="22"/>
      <c r="BS1" s="22"/>
      <c r="BT1" s="22"/>
      <c r="BU1" s="22"/>
      <c r="BV1" s="22"/>
      <c r="BW1" s="22"/>
      <c r="BX1" s="22"/>
      <c r="BY1" s="23" t="s">
        <v>24</v>
      </c>
      <c r="BZ1" s="23"/>
      <c r="CA1" s="23"/>
      <c r="CB1" s="23"/>
      <c r="CC1" s="23"/>
      <c r="CD1" s="23"/>
      <c r="CE1" s="23"/>
      <c r="CF1" s="2"/>
    </row>
    <row r="2" spans="1:84" x14ac:dyDescent="0.25">
      <c r="A2" t="s">
        <v>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17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17</v>
      </c>
      <c r="U2" s="1">
        <v>0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0</v>
      </c>
      <c r="AD2" s="1">
        <v>1</v>
      </c>
      <c r="AE2" s="1">
        <v>2</v>
      </c>
      <c r="AF2" s="1">
        <v>3</v>
      </c>
      <c r="AG2" s="1">
        <v>4</v>
      </c>
      <c r="AH2" s="1">
        <v>5</v>
      </c>
      <c r="AI2" s="1">
        <v>6</v>
      </c>
      <c r="AJ2" s="1">
        <v>7</v>
      </c>
      <c r="AK2" s="1">
        <v>0</v>
      </c>
      <c r="AL2" s="1">
        <v>1</v>
      </c>
      <c r="AM2" s="1">
        <v>2</v>
      </c>
      <c r="AN2" s="1">
        <v>3</v>
      </c>
      <c r="AO2" s="1">
        <v>4</v>
      </c>
      <c r="AP2" s="1">
        <v>5</v>
      </c>
      <c r="AQ2" s="1">
        <v>6</v>
      </c>
      <c r="AR2" s="1">
        <v>7</v>
      </c>
      <c r="AS2" s="1">
        <v>0</v>
      </c>
      <c r="AT2" s="1">
        <v>1</v>
      </c>
      <c r="AU2" s="1">
        <v>2</v>
      </c>
      <c r="AV2" s="1">
        <v>3</v>
      </c>
      <c r="AW2" s="1">
        <v>4</v>
      </c>
      <c r="AX2" s="1">
        <v>5</v>
      </c>
      <c r="AY2" s="1">
        <v>6</v>
      </c>
      <c r="AZ2" s="1">
        <v>7</v>
      </c>
      <c r="BA2" s="1">
        <v>0</v>
      </c>
      <c r="BB2" s="1">
        <v>1</v>
      </c>
      <c r="BC2" s="1">
        <v>2</v>
      </c>
      <c r="BD2" s="1">
        <v>3</v>
      </c>
      <c r="BE2" s="1">
        <v>4</v>
      </c>
      <c r="BF2" s="1">
        <v>5</v>
      </c>
      <c r="BG2" s="1">
        <v>6</v>
      </c>
      <c r="BH2" s="1">
        <v>7</v>
      </c>
      <c r="BI2" s="1">
        <v>0</v>
      </c>
      <c r="BJ2" s="1">
        <v>1</v>
      </c>
      <c r="BK2" s="1">
        <v>2</v>
      </c>
      <c r="BL2" s="1">
        <v>3</v>
      </c>
      <c r="BM2" s="1">
        <v>4</v>
      </c>
      <c r="BN2" s="1">
        <v>5</v>
      </c>
      <c r="BO2" s="1">
        <v>6</v>
      </c>
      <c r="BP2" s="1">
        <v>7</v>
      </c>
      <c r="BQ2" s="1">
        <v>0</v>
      </c>
      <c r="BR2" s="1">
        <v>1</v>
      </c>
      <c r="BS2" s="1">
        <v>2</v>
      </c>
      <c r="BT2" s="1">
        <v>3</v>
      </c>
      <c r="BU2" s="1">
        <v>4</v>
      </c>
      <c r="BV2" s="1">
        <v>5</v>
      </c>
      <c r="BW2" s="1">
        <v>6</v>
      </c>
      <c r="BX2" s="1">
        <v>7</v>
      </c>
      <c r="BY2" t="s">
        <v>25</v>
      </c>
      <c r="BZ2" t="s">
        <v>26</v>
      </c>
      <c r="CA2" t="s">
        <v>27</v>
      </c>
      <c r="CB2" t="s">
        <v>28</v>
      </c>
      <c r="CC2" t="s">
        <v>29</v>
      </c>
      <c r="CD2" t="s">
        <v>30</v>
      </c>
      <c r="CE2" t="s">
        <v>31</v>
      </c>
    </row>
    <row r="3" spans="1:84" x14ac:dyDescent="0.25">
      <c r="A3">
        <v>1</v>
      </c>
      <c r="B3" t="s">
        <v>38</v>
      </c>
      <c r="C3" t="s">
        <v>54</v>
      </c>
      <c r="D3" s="1" t="s">
        <v>8</v>
      </c>
      <c r="E3">
        <f>SUMIFS('Raw Data'!E$3:E$16,'Raw Data'!$B$3:$B$16,'Collapsed Data'!$B3,'Raw Data'!$C$3:$C$16,'Collapsed Data'!$C3)</f>
        <v>71</v>
      </c>
      <c r="F3">
        <f>SUMIFS('Raw Data'!F$3:F$16,'Raw Data'!$B$3:$B$16,'Collapsed Data'!$B3,'Raw Data'!$C$3:$C$16,'Collapsed Data'!$C3)</f>
        <v>129</v>
      </c>
      <c r="G3">
        <f>SUMIFS('Raw Data'!G$3:G$17,'Raw Data'!$B$3:$B$17,'Collapsed Data'!$B3,'Raw Data'!$C$3:$C$17,'Collapsed Data'!$C3)</f>
        <v>0</v>
      </c>
      <c r="H3">
        <f>SUMIFS('Raw Data'!H$3:H$17,'Raw Data'!$B$3:$B$17,'Collapsed Data'!$B3,'Raw Data'!$C$3:$C$17,'Collapsed Data'!$C3)</f>
        <v>3</v>
      </c>
      <c r="I3">
        <f>SUMIFS('Raw Data'!I$3:I$17,'Raw Data'!$B$3:$B$17,'Collapsed Data'!$B3,'Raw Data'!$C$3:$C$17,'Collapsed Data'!$C3)</f>
        <v>5</v>
      </c>
      <c r="J3">
        <f>SUMIFS('Raw Data'!J$3:J$17,'Raw Data'!$B$3:$B$17,'Collapsed Data'!$B3,'Raw Data'!$C$3:$C$17,'Collapsed Data'!$C3)</f>
        <v>5</v>
      </c>
      <c r="K3">
        <f>SUMIFS('Raw Data'!K$3:K$17,'Raw Data'!$B$3:$B$17,'Collapsed Data'!$B3,'Raw Data'!$C$3:$C$17,'Collapsed Data'!$C3)</f>
        <v>6</v>
      </c>
      <c r="L3">
        <f>SUMIFS('Raw Data'!L$3:L$17,'Raw Data'!$B$3:$B$17,'Collapsed Data'!$B3,'Raw Data'!$C$3:$C$17,'Collapsed Data'!$C3)</f>
        <v>9</v>
      </c>
      <c r="M3">
        <f>SUMIFS('Raw Data'!M$3:M$17,'Raw Data'!$B$3:$B$17,'Collapsed Data'!$B3,'Raw Data'!$C$3:$C$17,'Collapsed Data'!$C3)</f>
        <v>40</v>
      </c>
      <c r="N3">
        <f>SUMIFS('Raw Data'!N$3:N$17,'Raw Data'!$B$3:$B$17,'Collapsed Data'!$B3,'Raw Data'!$C$3:$C$17,'Collapsed Data'!$C3)</f>
        <v>24</v>
      </c>
      <c r="O3">
        <f>SUMIFS('Raw Data'!O$3:O$17,'Raw Data'!$B$3:$B$17,'Collapsed Data'!$B3,'Raw Data'!$C$3:$C$17,'Collapsed Data'!$C3)</f>
        <v>9</v>
      </c>
      <c r="P3">
        <f>SUMIFS('Raw Data'!P$3:P$17,'Raw Data'!$B$3:$B$17,'Collapsed Data'!$B3,'Raw Data'!$C$3:$C$17,'Collapsed Data'!$C3)</f>
        <v>16</v>
      </c>
      <c r="Q3">
        <f>SUMIFS('Raw Data'!Q$3:Q$17,'Raw Data'!$B$3:$B$17,'Collapsed Data'!$B3,'Raw Data'!$C$3:$C$17,'Collapsed Data'!$C3)</f>
        <v>5</v>
      </c>
      <c r="R3">
        <f>SUMIFS('Raw Data'!R$3:R$17,'Raw Data'!$B$3:$B$17,'Collapsed Data'!$B3,'Raw Data'!$C$3:$C$17,'Collapsed Data'!$C3)</f>
        <v>2</v>
      </c>
      <c r="S3">
        <f>SUMIFS('Raw Data'!S$3:S$17,'Raw Data'!$B$3:$B$17,'Collapsed Data'!$B3,'Raw Data'!$C$3:$C$17,'Collapsed Data'!$C3)</f>
        <v>4</v>
      </c>
      <c r="T3">
        <f>SUMIFS('Raw Data'!T$3:T$17,'Raw Data'!$B$3:$B$17,'Collapsed Data'!$B3,'Raw Data'!$C$3:$C$17,'Collapsed Data'!$C3)</f>
        <v>9</v>
      </c>
      <c r="U3">
        <f>SUMIFS('Raw Data'!U$3:U$17,'Raw Data'!$B$3:$B$17,'Collapsed Data'!$B3,'Raw Data'!$C$3:$C$17,'Collapsed Data'!$C3)</f>
        <v>0</v>
      </c>
      <c r="V3">
        <f>SUMIFS('Raw Data'!V$3:V$17,'Raw Data'!$B$3:$B$17,'Collapsed Data'!$B3,'Raw Data'!$C$3:$C$17,'Collapsed Data'!$C3)</f>
        <v>1</v>
      </c>
      <c r="W3">
        <f>SUMIFS('Raw Data'!W$3:W$17,'Raw Data'!$B$3:$B$17,'Collapsed Data'!$B3,'Raw Data'!$C$3:$C$17,'Collapsed Data'!$C3)</f>
        <v>4</v>
      </c>
      <c r="X3">
        <f>SUMIFS('Raw Data'!X$3:X$17,'Raw Data'!$B$3:$B$17,'Collapsed Data'!$B3,'Raw Data'!$C$3:$C$17,'Collapsed Data'!$C3)</f>
        <v>9</v>
      </c>
      <c r="Y3">
        <f>SUMIFS('Raw Data'!Y$3:Y$17,'Raw Data'!$B$3:$B$17,'Collapsed Data'!$B3,'Raw Data'!$C$3:$C$17,'Collapsed Data'!$C3)</f>
        <v>16</v>
      </c>
      <c r="Z3">
        <f>SUMIFS('Raw Data'!Z$3:Z$17,'Raw Data'!$B$3:$B$17,'Collapsed Data'!$B3,'Raw Data'!$C$3:$C$17,'Collapsed Data'!$C3)</f>
        <v>17</v>
      </c>
      <c r="AA3">
        <f>SUMIFS('Raw Data'!AA$3:AA$17,'Raw Data'!$B$3:$B$17,'Collapsed Data'!$B3,'Raw Data'!$C$3:$C$17,'Collapsed Data'!$C3)</f>
        <v>13</v>
      </c>
      <c r="AB3">
        <f>SUMIFS('Raw Data'!AB$3:AB$17,'Raw Data'!$B$3:$B$17,'Collapsed Data'!$B3,'Raw Data'!$C$3:$C$17,'Collapsed Data'!$C3)</f>
        <v>10</v>
      </c>
      <c r="AC3">
        <f>SUMIFS('Raw Data'!AC$3:AC$17,'Raw Data'!$B$3:$B$17,'Collapsed Data'!$B3,'Raw Data'!$C$3:$C$17,'Collapsed Data'!$C3)</f>
        <v>0</v>
      </c>
      <c r="AD3">
        <f>SUMIFS('Raw Data'!AD$3:AD$17,'Raw Data'!$B$3:$B$17,'Collapsed Data'!$B3,'Raw Data'!$C$3:$C$17,'Collapsed Data'!$C3)</f>
        <v>1</v>
      </c>
      <c r="AE3">
        <f>SUMIFS('Raw Data'!AE$3:AE$17,'Raw Data'!$B$3:$B$17,'Collapsed Data'!$B3,'Raw Data'!$C$3:$C$17,'Collapsed Data'!$C3)</f>
        <v>5</v>
      </c>
      <c r="AF3">
        <f>SUMIFS('Raw Data'!AF$3:AF$17,'Raw Data'!$B$3:$B$17,'Collapsed Data'!$B3,'Raw Data'!$C$3:$C$17,'Collapsed Data'!$C3)</f>
        <v>5</v>
      </c>
      <c r="AG3">
        <f>SUMIFS('Raw Data'!AG$3:AG$17,'Raw Data'!$B$3:$B$17,'Collapsed Data'!$B3,'Raw Data'!$C$3:$C$17,'Collapsed Data'!$C3)</f>
        <v>25</v>
      </c>
      <c r="AH3">
        <f>SUMIFS('Raw Data'!AH$3:AH$17,'Raw Data'!$B$3:$B$17,'Collapsed Data'!$B3,'Raw Data'!$C$3:$C$17,'Collapsed Data'!$C3)</f>
        <v>17</v>
      </c>
      <c r="AI3">
        <f>SUMIFS('Raw Data'!AI$3:AI$17,'Raw Data'!$B$3:$B$17,'Collapsed Data'!$B3,'Raw Data'!$C$3:$C$17,'Collapsed Data'!$C3)</f>
        <v>9</v>
      </c>
      <c r="AJ3">
        <f>SUMIFS('Raw Data'!AJ$3:AJ$17,'Raw Data'!$B$3:$B$17,'Collapsed Data'!$B3,'Raw Data'!$C$3:$C$17,'Collapsed Data'!$C3)</f>
        <v>8</v>
      </c>
      <c r="AK3">
        <f>SUMIFS('Raw Data'!AK$3:AK$17,'Raw Data'!$B$3:$B$17,'Collapsed Data'!$B3,'Raw Data'!$C$3:$C$17,'Collapsed Data'!$C3)</f>
        <v>1</v>
      </c>
      <c r="AL3">
        <f>SUMIFS('Raw Data'!AL$3:AL$17,'Raw Data'!$B$3:$B$17,'Collapsed Data'!$B3,'Raw Data'!$C$3:$C$17,'Collapsed Data'!$C3)</f>
        <v>0</v>
      </c>
      <c r="AM3">
        <f>SUMIFS('Raw Data'!AM$3:AM$17,'Raw Data'!$B$3:$B$17,'Collapsed Data'!$B3,'Raw Data'!$C$3:$C$17,'Collapsed Data'!$C3)</f>
        <v>3</v>
      </c>
      <c r="AN3">
        <f>SUMIFS('Raw Data'!AN$3:AN$17,'Raw Data'!$B$3:$B$17,'Collapsed Data'!$B3,'Raw Data'!$C$3:$C$17,'Collapsed Data'!$C3)</f>
        <v>2</v>
      </c>
      <c r="AO3">
        <f>SUMIFS('Raw Data'!AO$3:AO$17,'Raw Data'!$B$3:$B$17,'Collapsed Data'!$B3,'Raw Data'!$C$3:$C$17,'Collapsed Data'!$C3)</f>
        <v>16</v>
      </c>
      <c r="AP3">
        <f>SUMIFS('Raw Data'!AP$3:AP$17,'Raw Data'!$B$3:$B$17,'Collapsed Data'!$B3,'Raw Data'!$C$3:$C$17,'Collapsed Data'!$C3)</f>
        <v>14</v>
      </c>
      <c r="AQ3">
        <f>SUMIFS('Raw Data'!AQ$3:AQ$17,'Raw Data'!$B$3:$B$17,'Collapsed Data'!$B3,'Raw Data'!$C$3:$C$17,'Collapsed Data'!$C3)</f>
        <v>14</v>
      </c>
      <c r="AR3">
        <f>SUMIFS('Raw Data'!AR$3:AR$17,'Raw Data'!$B$3:$B$17,'Collapsed Data'!$B3,'Raw Data'!$C$3:$C$17,'Collapsed Data'!$C3)</f>
        <v>20</v>
      </c>
      <c r="AS3">
        <f>SUMIFS('Raw Data'!AS$3:AS$17,'Raw Data'!$B$3:$B$17,'Collapsed Data'!$B3,'Raw Data'!$C$3:$C$17,'Collapsed Data'!$C3)</f>
        <v>0</v>
      </c>
      <c r="AT3">
        <f>SUMIFS('Raw Data'!AT$3:AT$17,'Raw Data'!$B$3:$B$17,'Collapsed Data'!$B3,'Raw Data'!$C$3:$C$17,'Collapsed Data'!$C3)</f>
        <v>1</v>
      </c>
      <c r="AU3">
        <f>SUMIFS('Raw Data'!AU$3:AU$17,'Raw Data'!$B$3:$B$17,'Collapsed Data'!$B3,'Raw Data'!$C$3:$C$17,'Collapsed Data'!$C3)</f>
        <v>2</v>
      </c>
      <c r="AV3">
        <f>SUMIFS('Raw Data'!AV$3:AV$17,'Raw Data'!$B$3:$B$17,'Collapsed Data'!$B3,'Raw Data'!$C$3:$C$17,'Collapsed Data'!$C3)</f>
        <v>8</v>
      </c>
      <c r="AW3">
        <f>SUMIFS('Raw Data'!AW$3:AW$17,'Raw Data'!$B$3:$B$17,'Collapsed Data'!$B3,'Raw Data'!$C$3:$C$17,'Collapsed Data'!$C3)</f>
        <v>15</v>
      </c>
      <c r="AX3">
        <f>SUMIFS('Raw Data'!AX$3:AX$17,'Raw Data'!$B$3:$B$17,'Collapsed Data'!$B3,'Raw Data'!$C$3:$C$17,'Collapsed Data'!$C3)</f>
        <v>17</v>
      </c>
      <c r="AY3">
        <f>SUMIFS('Raw Data'!AY$3:AY$17,'Raw Data'!$B$3:$B$17,'Collapsed Data'!$B3,'Raw Data'!$C$3:$C$17,'Collapsed Data'!$C3)</f>
        <v>14</v>
      </c>
      <c r="AZ3">
        <f>SUMIFS('Raw Data'!AZ$3:AZ$17,'Raw Data'!$B$3:$B$17,'Collapsed Data'!$B3,'Raw Data'!$C$3:$C$17,'Collapsed Data'!$C3)</f>
        <v>13</v>
      </c>
      <c r="BA3">
        <f>SUMIFS('Raw Data'!BA$3:BA$17,'Raw Data'!$B$3:$B$17,'Collapsed Data'!$B3,'Raw Data'!$C$3:$C$17,'Collapsed Data'!$C3)</f>
        <v>1</v>
      </c>
      <c r="BB3">
        <f>SUMIFS('Raw Data'!BB$3:BB$17,'Raw Data'!$B$3:$B$17,'Collapsed Data'!$B3,'Raw Data'!$C$3:$C$17,'Collapsed Data'!$C3)</f>
        <v>0</v>
      </c>
      <c r="BC3">
        <f>SUMIFS('Raw Data'!BC$3:BC$17,'Raw Data'!$B$3:$B$17,'Collapsed Data'!$B3,'Raw Data'!$C$3:$C$17,'Collapsed Data'!$C3)</f>
        <v>1</v>
      </c>
      <c r="BD3">
        <f>SUMIFS('Raw Data'!BD$3:BD$17,'Raw Data'!$B$3:$B$17,'Collapsed Data'!$B3,'Raw Data'!$C$3:$C$17,'Collapsed Data'!$C3)</f>
        <v>3</v>
      </c>
      <c r="BE3">
        <f>SUMIFS('Raw Data'!BE$3:BE$17,'Raw Data'!$B$3:$B$17,'Collapsed Data'!$B3,'Raw Data'!$C$3:$C$17,'Collapsed Data'!$C3)</f>
        <v>18</v>
      </c>
      <c r="BF3">
        <f>SUMIFS('Raw Data'!BF$3:BF$17,'Raw Data'!$B$3:$B$17,'Collapsed Data'!$B3,'Raw Data'!$C$3:$C$17,'Collapsed Data'!$C3)</f>
        <v>12</v>
      </c>
      <c r="BG3">
        <f>SUMIFS('Raw Data'!BG$3:BG$17,'Raw Data'!$B$3:$B$17,'Collapsed Data'!$B3,'Raw Data'!$C$3:$C$17,'Collapsed Data'!$C3)</f>
        <v>13</v>
      </c>
      <c r="BH3">
        <f>SUMIFS('Raw Data'!BH$3:BH$17,'Raw Data'!$B$3:$B$17,'Collapsed Data'!$B3,'Raw Data'!$C$3:$C$17,'Collapsed Data'!$C3)</f>
        <v>22</v>
      </c>
      <c r="BI3">
        <f>SUMIFS('Raw Data'!BI$3:BI$17,'Raw Data'!$B$3:$B$17,'Collapsed Data'!$B3,'Raw Data'!$C$3:$C$17,'Collapsed Data'!$C3)</f>
        <v>2</v>
      </c>
      <c r="BJ3">
        <f>SUMIFS('Raw Data'!BJ$3:BJ$17,'Raw Data'!$B$3:$B$17,'Collapsed Data'!$B3,'Raw Data'!$C$3:$C$17,'Collapsed Data'!$C3)</f>
        <v>1</v>
      </c>
      <c r="BK3">
        <f>SUMIFS('Raw Data'!BK$3:BK$17,'Raw Data'!$B$3:$B$17,'Collapsed Data'!$B3,'Raw Data'!$C$3:$C$17,'Collapsed Data'!$C3)</f>
        <v>4</v>
      </c>
      <c r="BL3">
        <f>SUMIFS('Raw Data'!BL$3:BL$17,'Raw Data'!$B$3:$B$17,'Collapsed Data'!$B3,'Raw Data'!$C$3:$C$17,'Collapsed Data'!$C3)</f>
        <v>7</v>
      </c>
      <c r="BM3">
        <f>SUMIFS('Raw Data'!BM$3:BM$17,'Raw Data'!$B$3:$B$17,'Collapsed Data'!$B3,'Raw Data'!$C$3:$C$17,'Collapsed Data'!$C3)</f>
        <v>17</v>
      </c>
      <c r="BN3">
        <f>SUMIFS('Raw Data'!BN$3:BN$17,'Raw Data'!$B$3:$B$17,'Collapsed Data'!$B3,'Raw Data'!$C$3:$C$17,'Collapsed Data'!$C3)</f>
        <v>21</v>
      </c>
      <c r="BO3">
        <f>SUMIFS('Raw Data'!BO$3:BO$17,'Raw Data'!$B$3:$B$17,'Collapsed Data'!$B3,'Raw Data'!$C$3:$C$17,'Collapsed Data'!$C3)</f>
        <v>12</v>
      </c>
      <c r="BP3">
        <f>SUMIFS('Raw Data'!BP$3:BP$17,'Raw Data'!$B$3:$B$17,'Collapsed Data'!$B3,'Raw Data'!$C$3:$C$17,'Collapsed Data'!$C3)</f>
        <v>6</v>
      </c>
      <c r="BQ3">
        <f>SUMIFS('Raw Data'!BQ$3:BQ$17,'Raw Data'!$B$3:$B$17,'Collapsed Data'!$B3,'Raw Data'!$C$3:$C$17,'Collapsed Data'!$C3)</f>
        <v>2</v>
      </c>
      <c r="BR3">
        <f>SUMIFS('Raw Data'!BR$3:BR$17,'Raw Data'!$B$3:$B$17,'Collapsed Data'!$B3,'Raw Data'!$C$3:$C$17,'Collapsed Data'!$C3)</f>
        <v>2</v>
      </c>
      <c r="BS3">
        <f>SUMIFS('Raw Data'!BS$3:BS$17,'Raw Data'!$B$3:$B$17,'Collapsed Data'!$B3,'Raw Data'!$C$3:$C$17,'Collapsed Data'!$C3)</f>
        <v>3</v>
      </c>
      <c r="BT3">
        <f>SUMIFS('Raw Data'!BT$3:BT$17,'Raw Data'!$B$3:$B$17,'Collapsed Data'!$B3,'Raw Data'!$C$3:$C$17,'Collapsed Data'!$C3)</f>
        <v>6</v>
      </c>
      <c r="BU3">
        <f>SUMIFS('Raw Data'!BU$3:BU$17,'Raw Data'!$B$3:$B$17,'Collapsed Data'!$B3,'Raw Data'!$C$3:$C$17,'Collapsed Data'!$C3)</f>
        <v>19</v>
      </c>
      <c r="BV3">
        <f>SUMIFS('Raw Data'!BV$3:BV$17,'Raw Data'!$B$3:$B$17,'Collapsed Data'!$B3,'Raw Data'!$C$3:$C$17,'Collapsed Data'!$C3)</f>
        <v>17</v>
      </c>
      <c r="BW3">
        <f>SUMIFS('Raw Data'!BW$3:BW$17,'Raw Data'!$B$3:$B$17,'Collapsed Data'!$B3,'Raw Data'!$C$3:$C$17,'Collapsed Data'!$C3)</f>
        <v>12</v>
      </c>
      <c r="BX3">
        <f>SUMIFS('Raw Data'!BX$3:BX$17,'Raw Data'!$B$3:$B$17,'Collapsed Data'!$B3,'Raw Data'!$C$3:$C$17,'Collapsed Data'!$C3)</f>
        <v>8</v>
      </c>
      <c r="BY3">
        <f>SUMIFS('Raw Data'!BY$3:BY$17,'Raw Data'!$B$3:$B$17,'Collapsed Data'!$B3,'Raw Data'!$C$3:$C$17,'Collapsed Data'!$C3)</f>
        <v>0</v>
      </c>
      <c r="BZ3">
        <f>SUMIFS('Raw Data'!BZ$3:BZ$17,'Raw Data'!$B$3:$B$17,'Collapsed Data'!$B3,'Raw Data'!$C$3:$C$17,'Collapsed Data'!$C3)</f>
        <v>2</v>
      </c>
      <c r="CA3">
        <f>SUMIFS('Raw Data'!CA$3:CA$17,'Raw Data'!$B$3:$B$17,'Collapsed Data'!$B3,'Raw Data'!$C$3:$C$17,'Collapsed Data'!$C3)</f>
        <v>7</v>
      </c>
      <c r="CB3">
        <f>SUMIFS('Raw Data'!CB$3:CB$17,'Raw Data'!$B$3:$B$17,'Collapsed Data'!$B3,'Raw Data'!$C$3:$C$17,'Collapsed Data'!$C3)</f>
        <v>20</v>
      </c>
      <c r="CC3">
        <f>SUMIFS('Raw Data'!CC$3:CC$17,'Raw Data'!$B$3:$B$17,'Collapsed Data'!$B3,'Raw Data'!$C$3:$C$17,'Collapsed Data'!$C3)</f>
        <v>19</v>
      </c>
      <c r="CD3">
        <f>SUMIFS('Raw Data'!CD$3:CD$17,'Raw Data'!$B$3:$B$17,'Collapsed Data'!$B3,'Raw Data'!$C$3:$C$17,'Collapsed Data'!$C3)</f>
        <v>16</v>
      </c>
      <c r="CE3">
        <f>SUMIFS('Raw Data'!CE$3:CE$17,'Raw Data'!$B$3:$B$17,'Collapsed Data'!$B3,'Raw Data'!$C$3:$C$17,'Collapsed Data'!$C3)</f>
        <v>7</v>
      </c>
    </row>
    <row r="4" spans="1:84" x14ac:dyDescent="0.25">
      <c r="A4">
        <v>2</v>
      </c>
      <c r="B4" t="s">
        <v>48</v>
      </c>
      <c r="C4" t="s">
        <v>49</v>
      </c>
      <c r="D4" s="1" t="s">
        <v>8</v>
      </c>
      <c r="E4">
        <f>SUMIFS('Raw Data'!E$3:E$16,'Raw Data'!$B$3:$B$16,'Collapsed Data'!$B4,'Raw Data'!$C$3:$C$16,'Collapsed Data'!$C4)</f>
        <v>31</v>
      </c>
      <c r="F4">
        <f>SUMIFS('Raw Data'!F$3:F$16,'Raw Data'!$B$3:$B$16,'Collapsed Data'!$B4,'Raw Data'!$C$3:$C$16,'Collapsed Data'!$C4)</f>
        <v>81</v>
      </c>
      <c r="G4">
        <f>SUMIFS('Raw Data'!G$3:G$17,'Raw Data'!$B$3:$B$17,'Collapsed Data'!$B4,'Raw Data'!$C$3:$C$17,'Collapsed Data'!$C4)</f>
        <v>2</v>
      </c>
      <c r="H4">
        <f>SUMIFS('Raw Data'!H$3:H$17,'Raw Data'!$B$3:$B$17,'Collapsed Data'!$B4,'Raw Data'!$C$3:$C$17,'Collapsed Data'!$C4)</f>
        <v>3</v>
      </c>
      <c r="I4">
        <f>SUMIFS('Raw Data'!I$3:I$17,'Raw Data'!$B$3:$B$17,'Collapsed Data'!$B4,'Raw Data'!$C$3:$C$17,'Collapsed Data'!$C4)</f>
        <v>4</v>
      </c>
      <c r="J4">
        <f>SUMIFS('Raw Data'!J$3:J$17,'Raw Data'!$B$3:$B$17,'Collapsed Data'!$B4,'Raw Data'!$C$3:$C$17,'Collapsed Data'!$C4)</f>
        <v>7</v>
      </c>
      <c r="K4">
        <f>SUMIFS('Raw Data'!K$3:K$17,'Raw Data'!$B$3:$B$17,'Collapsed Data'!$B4,'Raw Data'!$C$3:$C$17,'Collapsed Data'!$C4)</f>
        <v>3</v>
      </c>
      <c r="L4">
        <f>SUMIFS('Raw Data'!L$3:L$17,'Raw Data'!$B$3:$B$17,'Collapsed Data'!$B4,'Raw Data'!$C$3:$C$17,'Collapsed Data'!$C4)</f>
        <v>2</v>
      </c>
      <c r="M4">
        <f>SUMIFS('Raw Data'!M$3:M$17,'Raw Data'!$B$3:$B$17,'Collapsed Data'!$B4,'Raw Data'!$C$3:$C$17,'Collapsed Data'!$C4)</f>
        <v>10</v>
      </c>
      <c r="N4">
        <f>SUMIFS('Raw Data'!N$3:N$17,'Raw Data'!$B$3:$B$17,'Collapsed Data'!$B4,'Raw Data'!$C$3:$C$17,'Collapsed Data'!$C4)</f>
        <v>14</v>
      </c>
      <c r="O4">
        <f>SUMIFS('Raw Data'!O$3:O$17,'Raw Data'!$B$3:$B$17,'Collapsed Data'!$B4,'Raw Data'!$C$3:$C$17,'Collapsed Data'!$C4)</f>
        <v>0</v>
      </c>
      <c r="P4">
        <f>SUMIFS('Raw Data'!P$3:P$17,'Raw Data'!$B$3:$B$17,'Collapsed Data'!$B4,'Raw Data'!$C$3:$C$17,'Collapsed Data'!$C4)</f>
        <v>6</v>
      </c>
      <c r="Q4">
        <f>SUMIFS('Raw Data'!Q$3:Q$17,'Raw Data'!$B$3:$B$17,'Collapsed Data'!$B4,'Raw Data'!$C$3:$C$17,'Collapsed Data'!$C4)</f>
        <v>3</v>
      </c>
      <c r="R4">
        <f>SUMIFS('Raw Data'!R$3:R$17,'Raw Data'!$B$3:$B$17,'Collapsed Data'!$B4,'Raw Data'!$C$3:$C$17,'Collapsed Data'!$C4)</f>
        <v>2</v>
      </c>
      <c r="S4">
        <f>SUMIFS('Raw Data'!S$3:S$17,'Raw Data'!$B$3:$B$17,'Collapsed Data'!$B4,'Raw Data'!$C$3:$C$17,'Collapsed Data'!$C4)</f>
        <v>1</v>
      </c>
      <c r="T4">
        <f>SUMIFS('Raw Data'!T$3:T$17,'Raw Data'!$B$3:$B$17,'Collapsed Data'!$B4,'Raw Data'!$C$3:$C$17,'Collapsed Data'!$C4)</f>
        <v>5</v>
      </c>
      <c r="U4">
        <f>SUMIFS('Raw Data'!U$3:U$17,'Raw Data'!$B$3:$B$17,'Collapsed Data'!$B4,'Raw Data'!$C$3:$C$17,'Collapsed Data'!$C4)</f>
        <v>3</v>
      </c>
      <c r="V4">
        <f>SUMIFS('Raw Data'!V$3:V$17,'Raw Data'!$B$3:$B$17,'Collapsed Data'!$B4,'Raw Data'!$C$3:$C$17,'Collapsed Data'!$C4)</f>
        <v>0</v>
      </c>
      <c r="W4">
        <f>SUMIFS('Raw Data'!W$3:W$17,'Raw Data'!$B$3:$B$17,'Collapsed Data'!$B4,'Raw Data'!$C$3:$C$17,'Collapsed Data'!$C4)</f>
        <v>0</v>
      </c>
      <c r="X4">
        <f>SUMIFS('Raw Data'!X$3:X$17,'Raw Data'!$B$3:$B$17,'Collapsed Data'!$B4,'Raw Data'!$C$3:$C$17,'Collapsed Data'!$C4)</f>
        <v>3</v>
      </c>
      <c r="Y4">
        <f>SUMIFS('Raw Data'!Y$3:Y$17,'Raw Data'!$B$3:$B$17,'Collapsed Data'!$B4,'Raw Data'!$C$3:$C$17,'Collapsed Data'!$C4)</f>
        <v>1</v>
      </c>
      <c r="Z4">
        <f>SUMIFS('Raw Data'!Z$3:Z$17,'Raw Data'!$B$3:$B$17,'Collapsed Data'!$B4,'Raw Data'!$C$3:$C$17,'Collapsed Data'!$C4)</f>
        <v>4</v>
      </c>
      <c r="AA4">
        <f>SUMIFS('Raw Data'!AA$3:AA$17,'Raw Data'!$B$3:$B$17,'Collapsed Data'!$B4,'Raw Data'!$C$3:$C$17,'Collapsed Data'!$C4)</f>
        <v>6</v>
      </c>
      <c r="AB4">
        <f>SUMIFS('Raw Data'!AB$3:AB$17,'Raw Data'!$B$3:$B$17,'Collapsed Data'!$B4,'Raw Data'!$C$3:$C$17,'Collapsed Data'!$C4)</f>
        <v>14</v>
      </c>
      <c r="AC4">
        <f>SUMIFS('Raw Data'!AC$3:AC$17,'Raw Data'!$B$3:$B$17,'Collapsed Data'!$B4,'Raw Data'!$C$3:$C$17,'Collapsed Data'!$C4)</f>
        <v>3</v>
      </c>
      <c r="AD4">
        <f>SUMIFS('Raw Data'!AD$3:AD$17,'Raw Data'!$B$3:$B$17,'Collapsed Data'!$B4,'Raw Data'!$C$3:$C$17,'Collapsed Data'!$C4)</f>
        <v>1</v>
      </c>
      <c r="AE4">
        <f>SUMIFS('Raw Data'!AE$3:AE$17,'Raw Data'!$B$3:$B$17,'Collapsed Data'!$B4,'Raw Data'!$C$3:$C$17,'Collapsed Data'!$C4)</f>
        <v>0</v>
      </c>
      <c r="AF4">
        <f>SUMIFS('Raw Data'!AF$3:AF$17,'Raw Data'!$B$3:$B$17,'Collapsed Data'!$B4,'Raw Data'!$C$3:$C$17,'Collapsed Data'!$C4)</f>
        <v>2</v>
      </c>
      <c r="AG4">
        <f>SUMIFS('Raw Data'!AG$3:AG$17,'Raw Data'!$B$3:$B$17,'Collapsed Data'!$B4,'Raw Data'!$C$3:$C$17,'Collapsed Data'!$C4)</f>
        <v>1</v>
      </c>
      <c r="AH4">
        <f>SUMIFS('Raw Data'!AH$3:AH$17,'Raw Data'!$B$3:$B$17,'Collapsed Data'!$B4,'Raw Data'!$C$3:$C$17,'Collapsed Data'!$C4)</f>
        <v>4</v>
      </c>
      <c r="AI4">
        <f>SUMIFS('Raw Data'!AI$3:AI$17,'Raw Data'!$B$3:$B$17,'Collapsed Data'!$B4,'Raw Data'!$C$3:$C$17,'Collapsed Data'!$C4)</f>
        <v>7</v>
      </c>
      <c r="AJ4">
        <f>SUMIFS('Raw Data'!AJ$3:AJ$17,'Raw Data'!$B$3:$B$17,'Collapsed Data'!$B4,'Raw Data'!$C$3:$C$17,'Collapsed Data'!$C4)</f>
        <v>13</v>
      </c>
      <c r="AK4">
        <f>SUMIFS('Raw Data'!AK$3:AK$17,'Raw Data'!$B$3:$B$17,'Collapsed Data'!$B4,'Raw Data'!$C$3:$C$17,'Collapsed Data'!$C4)</f>
        <v>3</v>
      </c>
      <c r="AL4">
        <f>SUMIFS('Raw Data'!AL$3:AL$17,'Raw Data'!$B$3:$B$17,'Collapsed Data'!$B4,'Raw Data'!$C$3:$C$17,'Collapsed Data'!$C4)</f>
        <v>0</v>
      </c>
      <c r="AM4">
        <f>SUMIFS('Raw Data'!AM$3:AM$17,'Raw Data'!$B$3:$B$17,'Collapsed Data'!$B4,'Raw Data'!$C$3:$C$17,'Collapsed Data'!$C4)</f>
        <v>0</v>
      </c>
      <c r="AN4">
        <f>SUMIFS('Raw Data'!AN$3:AN$17,'Raw Data'!$B$3:$B$17,'Collapsed Data'!$B4,'Raw Data'!$C$3:$C$17,'Collapsed Data'!$C4)</f>
        <v>3</v>
      </c>
      <c r="AO4">
        <f>SUMIFS('Raw Data'!AO$3:AO$17,'Raw Data'!$B$3:$B$17,'Collapsed Data'!$B4,'Raw Data'!$C$3:$C$17,'Collapsed Data'!$C4)</f>
        <v>1</v>
      </c>
      <c r="AP4">
        <f>SUMIFS('Raw Data'!AP$3:AP$17,'Raw Data'!$B$3:$B$17,'Collapsed Data'!$B4,'Raw Data'!$C$3:$C$17,'Collapsed Data'!$C4)</f>
        <v>3</v>
      </c>
      <c r="AQ4">
        <f>SUMIFS('Raw Data'!AQ$3:AQ$17,'Raw Data'!$B$3:$B$17,'Collapsed Data'!$B4,'Raw Data'!$C$3:$C$17,'Collapsed Data'!$C4)</f>
        <v>7</v>
      </c>
      <c r="AR4">
        <f>SUMIFS('Raw Data'!AR$3:AR$17,'Raw Data'!$B$3:$B$17,'Collapsed Data'!$B4,'Raw Data'!$C$3:$C$17,'Collapsed Data'!$C4)</f>
        <v>14</v>
      </c>
      <c r="AS4">
        <f>SUMIFS('Raw Data'!AS$3:AS$17,'Raw Data'!$B$3:$B$17,'Collapsed Data'!$B4,'Raw Data'!$C$3:$C$17,'Collapsed Data'!$C4)</f>
        <v>3</v>
      </c>
      <c r="AT4">
        <f>SUMIFS('Raw Data'!AT$3:AT$17,'Raw Data'!$B$3:$B$17,'Collapsed Data'!$B4,'Raw Data'!$C$3:$C$17,'Collapsed Data'!$C4)</f>
        <v>1</v>
      </c>
      <c r="AU4">
        <f>SUMIFS('Raw Data'!AU$3:AU$17,'Raw Data'!$B$3:$B$17,'Collapsed Data'!$B4,'Raw Data'!$C$3:$C$17,'Collapsed Data'!$C4)</f>
        <v>0</v>
      </c>
      <c r="AV4">
        <f>SUMIFS('Raw Data'!AV$3:AV$17,'Raw Data'!$B$3:$B$17,'Collapsed Data'!$B4,'Raw Data'!$C$3:$C$17,'Collapsed Data'!$C4)</f>
        <v>2</v>
      </c>
      <c r="AW4">
        <f>SUMIFS('Raw Data'!AW$3:AW$17,'Raw Data'!$B$3:$B$17,'Collapsed Data'!$B4,'Raw Data'!$C$3:$C$17,'Collapsed Data'!$C4)</f>
        <v>2</v>
      </c>
      <c r="AX4">
        <f>SUMIFS('Raw Data'!AX$3:AX$17,'Raw Data'!$B$3:$B$17,'Collapsed Data'!$B4,'Raw Data'!$C$3:$C$17,'Collapsed Data'!$C4)</f>
        <v>3</v>
      </c>
      <c r="AY4">
        <f>SUMIFS('Raw Data'!AY$3:AY$17,'Raw Data'!$B$3:$B$17,'Collapsed Data'!$B4,'Raw Data'!$C$3:$C$17,'Collapsed Data'!$C4)</f>
        <v>7</v>
      </c>
      <c r="AZ4">
        <f>SUMIFS('Raw Data'!AZ$3:AZ$17,'Raw Data'!$B$3:$B$17,'Collapsed Data'!$B4,'Raw Data'!$C$3:$C$17,'Collapsed Data'!$C4)</f>
        <v>13</v>
      </c>
      <c r="BA4">
        <f>SUMIFS('Raw Data'!BA$3:BA$17,'Raw Data'!$B$3:$B$17,'Collapsed Data'!$B4,'Raw Data'!$C$3:$C$17,'Collapsed Data'!$C4)</f>
        <v>3</v>
      </c>
      <c r="BB4">
        <f>SUMIFS('Raw Data'!BB$3:BB$17,'Raw Data'!$B$3:$B$17,'Collapsed Data'!$B4,'Raw Data'!$C$3:$C$17,'Collapsed Data'!$C4)</f>
        <v>0</v>
      </c>
      <c r="BC4">
        <f>SUMIFS('Raw Data'!BC$3:BC$17,'Raw Data'!$B$3:$B$17,'Collapsed Data'!$B4,'Raw Data'!$C$3:$C$17,'Collapsed Data'!$C4)</f>
        <v>0</v>
      </c>
      <c r="BD4">
        <f>SUMIFS('Raw Data'!BD$3:BD$17,'Raw Data'!$B$3:$B$17,'Collapsed Data'!$B4,'Raw Data'!$C$3:$C$17,'Collapsed Data'!$C4)</f>
        <v>2</v>
      </c>
      <c r="BE4">
        <f>SUMIFS('Raw Data'!BE$3:BE$17,'Raw Data'!$B$3:$B$17,'Collapsed Data'!$B4,'Raw Data'!$C$3:$C$17,'Collapsed Data'!$C4)</f>
        <v>3</v>
      </c>
      <c r="BF4">
        <f>SUMIFS('Raw Data'!BF$3:BF$17,'Raw Data'!$B$3:$B$17,'Collapsed Data'!$B4,'Raw Data'!$C$3:$C$17,'Collapsed Data'!$C4)</f>
        <v>3</v>
      </c>
      <c r="BG4">
        <f>SUMIFS('Raw Data'!BG$3:BG$17,'Raw Data'!$B$3:$B$17,'Collapsed Data'!$B4,'Raw Data'!$C$3:$C$17,'Collapsed Data'!$C4)</f>
        <v>8</v>
      </c>
      <c r="BH4">
        <f>SUMIFS('Raw Data'!BH$3:BH$17,'Raw Data'!$B$3:$B$17,'Collapsed Data'!$B4,'Raw Data'!$C$3:$C$17,'Collapsed Data'!$C4)</f>
        <v>12</v>
      </c>
      <c r="BI4">
        <f>SUMIFS('Raw Data'!BI$3:BI$17,'Raw Data'!$B$3:$B$17,'Collapsed Data'!$B4,'Raw Data'!$C$3:$C$17,'Collapsed Data'!$C4)</f>
        <v>3</v>
      </c>
      <c r="BJ4">
        <f>SUMIFS('Raw Data'!BJ$3:BJ$17,'Raw Data'!$B$3:$B$17,'Collapsed Data'!$B4,'Raw Data'!$C$3:$C$17,'Collapsed Data'!$C4)</f>
        <v>1</v>
      </c>
      <c r="BK4">
        <f>SUMIFS('Raw Data'!BK$3:BK$17,'Raw Data'!$B$3:$B$17,'Collapsed Data'!$B4,'Raw Data'!$C$3:$C$17,'Collapsed Data'!$C4)</f>
        <v>0</v>
      </c>
      <c r="BL4">
        <f>SUMIFS('Raw Data'!BL$3:BL$17,'Raw Data'!$B$3:$B$17,'Collapsed Data'!$B4,'Raw Data'!$C$3:$C$17,'Collapsed Data'!$C4)</f>
        <v>2</v>
      </c>
      <c r="BM4">
        <f>SUMIFS('Raw Data'!BM$3:BM$17,'Raw Data'!$B$3:$B$17,'Collapsed Data'!$B4,'Raw Data'!$C$3:$C$17,'Collapsed Data'!$C4)</f>
        <v>2</v>
      </c>
      <c r="BN4">
        <f>SUMIFS('Raw Data'!BN$3:BN$17,'Raw Data'!$B$3:$B$17,'Collapsed Data'!$B4,'Raw Data'!$C$3:$C$17,'Collapsed Data'!$C4)</f>
        <v>3</v>
      </c>
      <c r="BO4">
        <f>SUMIFS('Raw Data'!BO$3:BO$17,'Raw Data'!$B$3:$B$17,'Collapsed Data'!$B4,'Raw Data'!$C$3:$C$17,'Collapsed Data'!$C4)</f>
        <v>8</v>
      </c>
      <c r="BP4">
        <f>SUMIFS('Raw Data'!BP$3:BP$17,'Raw Data'!$B$3:$B$17,'Collapsed Data'!$B4,'Raw Data'!$C$3:$C$17,'Collapsed Data'!$C4)</f>
        <v>12</v>
      </c>
      <c r="BQ4">
        <f>SUMIFS('Raw Data'!BQ$3:BQ$17,'Raw Data'!$B$3:$B$17,'Collapsed Data'!$B4,'Raw Data'!$C$3:$C$17,'Collapsed Data'!$C4)</f>
        <v>3</v>
      </c>
      <c r="BR4">
        <f>SUMIFS('Raw Data'!BR$3:BR$17,'Raw Data'!$B$3:$B$17,'Collapsed Data'!$B4,'Raw Data'!$C$3:$C$17,'Collapsed Data'!$C4)</f>
        <v>1</v>
      </c>
      <c r="BS4">
        <f>SUMIFS('Raw Data'!BS$3:BS$17,'Raw Data'!$B$3:$B$17,'Collapsed Data'!$B4,'Raw Data'!$C$3:$C$17,'Collapsed Data'!$C4)</f>
        <v>0</v>
      </c>
      <c r="BT4">
        <f>SUMIFS('Raw Data'!BT$3:BT$17,'Raw Data'!$B$3:$B$17,'Collapsed Data'!$B4,'Raw Data'!$C$3:$C$17,'Collapsed Data'!$C4)</f>
        <v>2</v>
      </c>
      <c r="BU4">
        <f>SUMIFS('Raw Data'!BU$3:BU$17,'Raw Data'!$B$3:$B$17,'Collapsed Data'!$B4,'Raw Data'!$C$3:$C$17,'Collapsed Data'!$C4)</f>
        <v>1</v>
      </c>
      <c r="BV4">
        <f>SUMIFS('Raw Data'!BV$3:BV$17,'Raw Data'!$B$3:$B$17,'Collapsed Data'!$B4,'Raw Data'!$C$3:$C$17,'Collapsed Data'!$C4)</f>
        <v>3</v>
      </c>
      <c r="BW4">
        <f>SUMIFS('Raw Data'!BW$3:BW$17,'Raw Data'!$B$3:$B$17,'Collapsed Data'!$B4,'Raw Data'!$C$3:$C$17,'Collapsed Data'!$C4)</f>
        <v>6</v>
      </c>
      <c r="BX4">
        <f>SUMIFS('Raw Data'!BX$3:BX$17,'Raw Data'!$B$3:$B$17,'Collapsed Data'!$B4,'Raw Data'!$C$3:$C$17,'Collapsed Data'!$C4)</f>
        <v>14</v>
      </c>
      <c r="BY4">
        <f>SUMIFS('Raw Data'!BY$3:BY$17,'Raw Data'!$B$3:$B$17,'Collapsed Data'!$B4,'Raw Data'!$C$3:$C$17,'Collapsed Data'!$C4)</f>
        <v>1</v>
      </c>
      <c r="BZ4">
        <f>SUMIFS('Raw Data'!BZ$3:BZ$17,'Raw Data'!$B$3:$B$17,'Collapsed Data'!$B4,'Raw Data'!$C$3:$C$17,'Collapsed Data'!$C4)</f>
        <v>0</v>
      </c>
      <c r="CA4">
        <f>SUMIFS('Raw Data'!CA$3:CA$17,'Raw Data'!$B$3:$B$17,'Collapsed Data'!$B4,'Raw Data'!$C$3:$C$17,'Collapsed Data'!$C4)</f>
        <v>0</v>
      </c>
      <c r="CB4">
        <f>SUMIFS('Raw Data'!CB$3:CB$17,'Raw Data'!$B$3:$B$17,'Collapsed Data'!$B4,'Raw Data'!$C$3:$C$17,'Collapsed Data'!$C4)</f>
        <v>7</v>
      </c>
      <c r="CC4">
        <f>SUMIFS('Raw Data'!CC$3:CC$17,'Raw Data'!$B$3:$B$17,'Collapsed Data'!$B4,'Raw Data'!$C$3:$C$17,'Collapsed Data'!$C4)</f>
        <v>7</v>
      </c>
      <c r="CD4">
        <f>SUMIFS('Raw Data'!CD$3:CD$17,'Raw Data'!$B$3:$B$17,'Collapsed Data'!$B4,'Raw Data'!$C$3:$C$17,'Collapsed Data'!$C4)</f>
        <v>4</v>
      </c>
      <c r="CE4">
        <f>SUMIFS('Raw Data'!CE$3:CE$17,'Raw Data'!$B$3:$B$17,'Collapsed Data'!$B4,'Raw Data'!$C$3:$C$17,'Collapsed Data'!$C4)</f>
        <v>12</v>
      </c>
    </row>
    <row r="5" spans="1:84" x14ac:dyDescent="0.25">
      <c r="A5">
        <v>3</v>
      </c>
      <c r="B5" t="s">
        <v>46</v>
      </c>
      <c r="C5" t="s">
        <v>47</v>
      </c>
      <c r="D5" s="1" t="s">
        <v>8</v>
      </c>
      <c r="E5">
        <f>SUMIFS('Raw Data'!E$3:E$16,'Raw Data'!$B$3:$B$16,'Collapsed Data'!$B5,'Raw Data'!$C$3:$C$16,'Collapsed Data'!$C5)</f>
        <v>38</v>
      </c>
      <c r="F5">
        <f>SUMIFS('Raw Data'!F$3:F$16,'Raw Data'!$B$3:$B$16,'Collapsed Data'!$B5,'Raw Data'!$C$3:$C$16,'Collapsed Data'!$C5)</f>
        <v>91</v>
      </c>
      <c r="G5">
        <f>SUMIFS('Raw Data'!G$3:G$17,'Raw Data'!$B$3:$B$17,'Collapsed Data'!$B5,'Raw Data'!$C$3:$C$17,'Collapsed Data'!$C5)</f>
        <v>24</v>
      </c>
      <c r="H5">
        <f>SUMIFS('Raw Data'!H$3:H$17,'Raw Data'!$B$3:$B$17,'Collapsed Data'!$B5,'Raw Data'!$C$3:$C$17,'Collapsed Data'!$C5)</f>
        <v>0</v>
      </c>
      <c r="I5">
        <f>SUMIFS('Raw Data'!I$3:I$17,'Raw Data'!$B$3:$B$17,'Collapsed Data'!$B5,'Raw Data'!$C$3:$C$17,'Collapsed Data'!$C5)</f>
        <v>4</v>
      </c>
      <c r="J5">
        <f>SUMIFS('Raw Data'!J$3:J$17,'Raw Data'!$B$3:$B$17,'Collapsed Data'!$B5,'Raw Data'!$C$3:$C$17,'Collapsed Data'!$C5)</f>
        <v>1</v>
      </c>
      <c r="K5">
        <f>SUMIFS('Raw Data'!K$3:K$17,'Raw Data'!$B$3:$B$17,'Collapsed Data'!$B5,'Raw Data'!$C$3:$C$17,'Collapsed Data'!$C5)</f>
        <v>1</v>
      </c>
      <c r="L5">
        <f>SUMIFS('Raw Data'!L$3:L$17,'Raw Data'!$B$3:$B$17,'Collapsed Data'!$B5,'Raw Data'!$C$3:$C$17,'Collapsed Data'!$C5)</f>
        <v>1</v>
      </c>
      <c r="M5">
        <f>SUMIFS('Raw Data'!M$3:M$17,'Raw Data'!$B$3:$B$17,'Collapsed Data'!$B5,'Raw Data'!$C$3:$C$17,'Collapsed Data'!$C5)</f>
        <v>3</v>
      </c>
      <c r="N5">
        <f>SUMIFS('Raw Data'!N$3:N$17,'Raw Data'!$B$3:$B$17,'Collapsed Data'!$B5,'Raw Data'!$C$3:$C$17,'Collapsed Data'!$C5)</f>
        <v>14</v>
      </c>
      <c r="O5">
        <f>SUMIFS('Raw Data'!O$3:O$17,'Raw Data'!$B$3:$B$17,'Collapsed Data'!$B5,'Raw Data'!$C$3:$C$17,'Collapsed Data'!$C5)</f>
        <v>5</v>
      </c>
      <c r="P5">
        <f>SUMIFS('Raw Data'!P$3:P$17,'Raw Data'!$B$3:$B$17,'Collapsed Data'!$B5,'Raw Data'!$C$3:$C$17,'Collapsed Data'!$C5)</f>
        <v>11</v>
      </c>
      <c r="Q5">
        <f>SUMIFS('Raw Data'!Q$3:Q$17,'Raw Data'!$B$3:$B$17,'Collapsed Data'!$B5,'Raw Data'!$C$3:$C$17,'Collapsed Data'!$C5)</f>
        <v>2</v>
      </c>
      <c r="R5">
        <f>SUMIFS('Raw Data'!R$3:R$17,'Raw Data'!$B$3:$B$17,'Collapsed Data'!$B5,'Raw Data'!$C$3:$C$17,'Collapsed Data'!$C5)</f>
        <v>2</v>
      </c>
      <c r="S5">
        <f>SUMIFS('Raw Data'!S$3:S$17,'Raw Data'!$B$3:$B$17,'Collapsed Data'!$B5,'Raw Data'!$C$3:$C$17,'Collapsed Data'!$C5)</f>
        <v>1</v>
      </c>
      <c r="T5">
        <f>SUMIFS('Raw Data'!T$3:T$17,'Raw Data'!$B$3:$B$17,'Collapsed Data'!$B5,'Raw Data'!$C$3:$C$17,'Collapsed Data'!$C5)</f>
        <v>0</v>
      </c>
      <c r="U5">
        <f>SUMIFS('Raw Data'!U$3:U$17,'Raw Data'!$B$3:$B$17,'Collapsed Data'!$B5,'Raw Data'!$C$3:$C$17,'Collapsed Data'!$C5)</f>
        <v>0</v>
      </c>
      <c r="V5">
        <f>SUMIFS('Raw Data'!V$3:V$17,'Raw Data'!$B$3:$B$17,'Collapsed Data'!$B5,'Raw Data'!$C$3:$C$17,'Collapsed Data'!$C5)</f>
        <v>0</v>
      </c>
      <c r="W5">
        <f>SUMIFS('Raw Data'!W$3:W$17,'Raw Data'!$B$3:$B$17,'Collapsed Data'!$B5,'Raw Data'!$C$3:$C$17,'Collapsed Data'!$C5)</f>
        <v>1</v>
      </c>
      <c r="X5">
        <f>SUMIFS('Raw Data'!X$3:X$17,'Raw Data'!$B$3:$B$17,'Collapsed Data'!$B5,'Raw Data'!$C$3:$C$17,'Collapsed Data'!$C5)</f>
        <v>3</v>
      </c>
      <c r="Y5">
        <f>SUMIFS('Raw Data'!Y$3:Y$17,'Raw Data'!$B$3:$B$17,'Collapsed Data'!$B5,'Raw Data'!$C$3:$C$17,'Collapsed Data'!$C5)</f>
        <v>13</v>
      </c>
      <c r="Z5">
        <f>SUMIFS('Raw Data'!Z$3:Z$17,'Raw Data'!$B$3:$B$17,'Collapsed Data'!$B5,'Raw Data'!$C$3:$C$17,'Collapsed Data'!$C5)</f>
        <v>7</v>
      </c>
      <c r="AA5">
        <f>SUMIFS('Raw Data'!AA$3:AA$17,'Raw Data'!$B$3:$B$17,'Collapsed Data'!$B5,'Raw Data'!$C$3:$C$17,'Collapsed Data'!$C5)</f>
        <v>7</v>
      </c>
      <c r="AB5">
        <f>SUMIFS('Raw Data'!AB$3:AB$17,'Raw Data'!$B$3:$B$17,'Collapsed Data'!$B5,'Raw Data'!$C$3:$C$17,'Collapsed Data'!$C5)</f>
        <v>7</v>
      </c>
      <c r="AC5">
        <f>SUMIFS('Raw Data'!AC$3:AC$17,'Raw Data'!$B$3:$B$17,'Collapsed Data'!$B5,'Raw Data'!$C$3:$C$17,'Collapsed Data'!$C5)</f>
        <v>1</v>
      </c>
      <c r="AD5">
        <f>SUMIFS('Raw Data'!AD$3:AD$17,'Raw Data'!$B$3:$B$17,'Collapsed Data'!$B5,'Raw Data'!$C$3:$C$17,'Collapsed Data'!$C5)</f>
        <v>0</v>
      </c>
      <c r="AE5">
        <f>SUMIFS('Raw Data'!AE$3:AE$17,'Raw Data'!$B$3:$B$17,'Collapsed Data'!$B5,'Raw Data'!$C$3:$C$17,'Collapsed Data'!$C5)</f>
        <v>2</v>
      </c>
      <c r="AF5">
        <f>SUMIFS('Raw Data'!AF$3:AF$17,'Raw Data'!$B$3:$B$17,'Collapsed Data'!$B5,'Raw Data'!$C$3:$C$17,'Collapsed Data'!$C5)</f>
        <v>1</v>
      </c>
      <c r="AG5">
        <f>SUMIFS('Raw Data'!AG$3:AG$17,'Raw Data'!$B$3:$B$17,'Collapsed Data'!$B5,'Raw Data'!$C$3:$C$17,'Collapsed Data'!$C5)</f>
        <v>13</v>
      </c>
      <c r="AH5">
        <f>SUMIFS('Raw Data'!AH$3:AH$17,'Raw Data'!$B$3:$B$17,'Collapsed Data'!$B5,'Raw Data'!$C$3:$C$17,'Collapsed Data'!$C5)</f>
        <v>5</v>
      </c>
      <c r="AI5">
        <f>SUMIFS('Raw Data'!AI$3:AI$17,'Raw Data'!$B$3:$B$17,'Collapsed Data'!$B5,'Raw Data'!$C$3:$C$17,'Collapsed Data'!$C5)</f>
        <v>8</v>
      </c>
      <c r="AJ5">
        <f>SUMIFS('Raw Data'!AJ$3:AJ$17,'Raw Data'!$B$3:$B$17,'Collapsed Data'!$B5,'Raw Data'!$C$3:$C$17,'Collapsed Data'!$C5)</f>
        <v>8</v>
      </c>
      <c r="AK5">
        <f>SUMIFS('Raw Data'!AK$3:AK$17,'Raw Data'!$B$3:$B$17,'Collapsed Data'!$B5,'Raw Data'!$C$3:$C$17,'Collapsed Data'!$C5)</f>
        <v>0</v>
      </c>
      <c r="AL5">
        <f>SUMIFS('Raw Data'!AL$3:AL$17,'Raw Data'!$B$3:$B$17,'Collapsed Data'!$B5,'Raw Data'!$C$3:$C$17,'Collapsed Data'!$C5)</f>
        <v>0</v>
      </c>
      <c r="AM5">
        <f>SUMIFS('Raw Data'!AM$3:AM$17,'Raw Data'!$B$3:$B$17,'Collapsed Data'!$B5,'Raw Data'!$C$3:$C$17,'Collapsed Data'!$C5)</f>
        <v>1</v>
      </c>
      <c r="AN5">
        <f>SUMIFS('Raw Data'!AN$3:AN$17,'Raw Data'!$B$3:$B$17,'Collapsed Data'!$B5,'Raw Data'!$C$3:$C$17,'Collapsed Data'!$C5)</f>
        <v>2</v>
      </c>
      <c r="AO5">
        <f>SUMIFS('Raw Data'!AO$3:AO$17,'Raw Data'!$B$3:$B$17,'Collapsed Data'!$B5,'Raw Data'!$C$3:$C$17,'Collapsed Data'!$C5)</f>
        <v>12</v>
      </c>
      <c r="AP5">
        <f>SUMIFS('Raw Data'!AP$3:AP$17,'Raw Data'!$B$3:$B$17,'Collapsed Data'!$B5,'Raw Data'!$C$3:$C$17,'Collapsed Data'!$C5)</f>
        <v>5</v>
      </c>
      <c r="AQ5">
        <f>SUMIFS('Raw Data'!AQ$3:AQ$17,'Raw Data'!$B$3:$B$17,'Collapsed Data'!$B5,'Raw Data'!$C$3:$C$17,'Collapsed Data'!$C5)</f>
        <v>5</v>
      </c>
      <c r="AR5">
        <f>SUMIFS('Raw Data'!AR$3:AR$17,'Raw Data'!$B$3:$B$17,'Collapsed Data'!$B5,'Raw Data'!$C$3:$C$17,'Collapsed Data'!$C5)</f>
        <v>13</v>
      </c>
      <c r="AS5">
        <f>SUMIFS('Raw Data'!AS$3:AS$17,'Raw Data'!$B$3:$B$17,'Collapsed Data'!$B5,'Raw Data'!$C$3:$C$17,'Collapsed Data'!$C5)</f>
        <v>6</v>
      </c>
      <c r="AT5">
        <f>SUMIFS('Raw Data'!AT$3:AT$17,'Raw Data'!$B$3:$B$17,'Collapsed Data'!$B5,'Raw Data'!$C$3:$C$17,'Collapsed Data'!$C5)</f>
        <v>0</v>
      </c>
      <c r="AU5">
        <f>SUMIFS('Raw Data'!AU$3:AU$17,'Raw Data'!$B$3:$B$17,'Collapsed Data'!$B5,'Raw Data'!$C$3:$C$17,'Collapsed Data'!$C5)</f>
        <v>0</v>
      </c>
      <c r="AV5">
        <f>SUMIFS('Raw Data'!AV$3:AV$17,'Raw Data'!$B$3:$B$17,'Collapsed Data'!$B5,'Raw Data'!$C$3:$C$17,'Collapsed Data'!$C5)</f>
        <v>5</v>
      </c>
      <c r="AW5">
        <f>SUMIFS('Raw Data'!AW$3:AW$17,'Raw Data'!$B$3:$B$17,'Collapsed Data'!$B5,'Raw Data'!$C$3:$C$17,'Collapsed Data'!$C5)</f>
        <v>11</v>
      </c>
      <c r="AX5">
        <f>SUMIFS('Raw Data'!AX$3:AX$17,'Raw Data'!$B$3:$B$17,'Collapsed Data'!$B5,'Raw Data'!$C$3:$C$17,'Collapsed Data'!$C5)</f>
        <v>3</v>
      </c>
      <c r="AY5">
        <f>SUMIFS('Raw Data'!AY$3:AY$17,'Raw Data'!$B$3:$B$17,'Collapsed Data'!$B5,'Raw Data'!$C$3:$C$17,'Collapsed Data'!$C5)</f>
        <v>5</v>
      </c>
      <c r="AZ5">
        <f>SUMIFS('Raw Data'!AZ$3:AZ$17,'Raw Data'!$B$3:$B$17,'Collapsed Data'!$B5,'Raw Data'!$C$3:$C$17,'Collapsed Data'!$C5)</f>
        <v>8</v>
      </c>
      <c r="BA5">
        <f>SUMIFS('Raw Data'!BA$3:BA$17,'Raw Data'!$B$3:$B$17,'Collapsed Data'!$B5,'Raw Data'!$C$3:$C$17,'Collapsed Data'!$C5)</f>
        <v>2</v>
      </c>
      <c r="BB5">
        <f>SUMIFS('Raw Data'!BB$3:BB$17,'Raw Data'!$B$3:$B$17,'Collapsed Data'!$B5,'Raw Data'!$C$3:$C$17,'Collapsed Data'!$C5)</f>
        <v>0</v>
      </c>
      <c r="BC5">
        <f>SUMIFS('Raw Data'!BC$3:BC$17,'Raw Data'!$B$3:$B$17,'Collapsed Data'!$B5,'Raw Data'!$C$3:$C$17,'Collapsed Data'!$C5)</f>
        <v>1</v>
      </c>
      <c r="BD5">
        <f>SUMIFS('Raw Data'!BD$3:BD$17,'Raw Data'!$B$3:$B$17,'Collapsed Data'!$B5,'Raw Data'!$C$3:$C$17,'Collapsed Data'!$C5)</f>
        <v>1</v>
      </c>
      <c r="BE5">
        <f>SUMIFS('Raw Data'!BE$3:BE$17,'Raw Data'!$B$3:$B$17,'Collapsed Data'!$B5,'Raw Data'!$C$3:$C$17,'Collapsed Data'!$C5)</f>
        <v>12</v>
      </c>
      <c r="BF5">
        <f>SUMIFS('Raw Data'!BF$3:BF$17,'Raw Data'!$B$3:$B$17,'Collapsed Data'!$B5,'Raw Data'!$C$3:$C$17,'Collapsed Data'!$C5)</f>
        <v>5</v>
      </c>
      <c r="BG5">
        <f>SUMIFS('Raw Data'!BG$3:BG$17,'Raw Data'!$B$3:$B$17,'Collapsed Data'!$B5,'Raw Data'!$C$3:$C$17,'Collapsed Data'!$C5)</f>
        <v>6</v>
      </c>
      <c r="BH5">
        <f>SUMIFS('Raw Data'!BH$3:BH$17,'Raw Data'!$B$3:$B$17,'Collapsed Data'!$B5,'Raw Data'!$C$3:$C$17,'Collapsed Data'!$C5)</f>
        <v>11</v>
      </c>
      <c r="BI5">
        <f>SUMIFS('Raw Data'!BI$3:BI$17,'Raw Data'!$B$3:$B$17,'Collapsed Data'!$B5,'Raw Data'!$C$3:$C$17,'Collapsed Data'!$C5)</f>
        <v>12</v>
      </c>
      <c r="BJ5">
        <f>SUMIFS('Raw Data'!BJ$3:BJ$17,'Raw Data'!$B$3:$B$17,'Collapsed Data'!$B5,'Raw Data'!$C$3:$C$17,'Collapsed Data'!$C5)</f>
        <v>0</v>
      </c>
      <c r="BK5">
        <f>SUMIFS('Raw Data'!BK$3:BK$17,'Raw Data'!$B$3:$B$17,'Collapsed Data'!$B5,'Raw Data'!$C$3:$C$17,'Collapsed Data'!$C5)</f>
        <v>2</v>
      </c>
      <c r="BL5">
        <f>SUMIFS('Raw Data'!BL$3:BL$17,'Raw Data'!$B$3:$B$17,'Collapsed Data'!$B5,'Raw Data'!$C$3:$C$17,'Collapsed Data'!$C5)</f>
        <v>1</v>
      </c>
      <c r="BM5">
        <f>SUMIFS('Raw Data'!BM$3:BM$17,'Raw Data'!$B$3:$B$17,'Collapsed Data'!$B5,'Raw Data'!$C$3:$C$17,'Collapsed Data'!$C5)</f>
        <v>12</v>
      </c>
      <c r="BN5">
        <f>SUMIFS('Raw Data'!BN$3:BN$17,'Raw Data'!$B$3:$B$17,'Collapsed Data'!$B5,'Raw Data'!$C$3:$C$17,'Collapsed Data'!$C5)</f>
        <v>1</v>
      </c>
      <c r="BO5">
        <f>SUMIFS('Raw Data'!BO$3:BO$17,'Raw Data'!$B$3:$B$17,'Collapsed Data'!$B5,'Raw Data'!$C$3:$C$17,'Collapsed Data'!$C5)</f>
        <v>3</v>
      </c>
      <c r="BP5">
        <f>SUMIFS('Raw Data'!BP$3:BP$17,'Raw Data'!$B$3:$B$17,'Collapsed Data'!$B5,'Raw Data'!$C$3:$C$17,'Collapsed Data'!$C5)</f>
        <v>7</v>
      </c>
      <c r="BQ5">
        <f>SUMIFS('Raw Data'!BQ$3:BQ$17,'Raw Data'!$B$3:$B$17,'Collapsed Data'!$B5,'Raw Data'!$C$3:$C$17,'Collapsed Data'!$C5)</f>
        <v>2</v>
      </c>
      <c r="BR5">
        <f>SUMIFS('Raw Data'!BR$3:BR$17,'Raw Data'!$B$3:$B$17,'Collapsed Data'!$B5,'Raw Data'!$C$3:$C$17,'Collapsed Data'!$C5)</f>
        <v>1</v>
      </c>
      <c r="BS5">
        <f>SUMIFS('Raw Data'!BS$3:BS$17,'Raw Data'!$B$3:$B$17,'Collapsed Data'!$B5,'Raw Data'!$C$3:$C$17,'Collapsed Data'!$C5)</f>
        <v>1</v>
      </c>
      <c r="BT5">
        <f>SUMIFS('Raw Data'!BT$3:BT$17,'Raw Data'!$B$3:$B$17,'Collapsed Data'!$B5,'Raw Data'!$C$3:$C$17,'Collapsed Data'!$C5)</f>
        <v>3</v>
      </c>
      <c r="BU5">
        <f>SUMIFS('Raw Data'!BU$3:BU$17,'Raw Data'!$B$3:$B$17,'Collapsed Data'!$B5,'Raw Data'!$C$3:$C$17,'Collapsed Data'!$C5)</f>
        <v>14</v>
      </c>
      <c r="BV5">
        <f>SUMIFS('Raw Data'!BV$3:BV$17,'Raw Data'!$B$3:$B$17,'Collapsed Data'!$B5,'Raw Data'!$C$3:$C$17,'Collapsed Data'!$C5)</f>
        <v>5</v>
      </c>
      <c r="BW5">
        <f>SUMIFS('Raw Data'!BW$3:BW$17,'Raw Data'!$B$3:$B$17,'Collapsed Data'!$B5,'Raw Data'!$C$3:$C$17,'Collapsed Data'!$C5)</f>
        <v>5</v>
      </c>
      <c r="BX5">
        <f>SUMIFS('Raw Data'!BX$3:BX$17,'Raw Data'!$B$3:$B$17,'Collapsed Data'!$B5,'Raw Data'!$C$3:$C$17,'Collapsed Data'!$C5)</f>
        <v>7</v>
      </c>
      <c r="BY5">
        <f>SUMIFS('Raw Data'!BY$3:BY$17,'Raw Data'!$B$3:$B$17,'Collapsed Data'!$B5,'Raw Data'!$C$3:$C$17,'Collapsed Data'!$C5)</f>
        <v>0</v>
      </c>
      <c r="BZ5">
        <f>SUMIFS('Raw Data'!BZ$3:BZ$17,'Raw Data'!$B$3:$B$17,'Collapsed Data'!$B5,'Raw Data'!$C$3:$C$17,'Collapsed Data'!$C5)</f>
        <v>1</v>
      </c>
      <c r="CA5">
        <f>SUMIFS('Raw Data'!CA$3:CA$17,'Raw Data'!$B$3:$B$17,'Collapsed Data'!$B5,'Raw Data'!$C$3:$C$17,'Collapsed Data'!$C5)</f>
        <v>1</v>
      </c>
      <c r="CB5">
        <f>SUMIFS('Raw Data'!CB$3:CB$17,'Raw Data'!$B$3:$B$17,'Collapsed Data'!$B5,'Raw Data'!$C$3:$C$17,'Collapsed Data'!$C5)</f>
        <v>15</v>
      </c>
      <c r="CC5">
        <f>SUMIFS('Raw Data'!CC$3:CC$17,'Raw Data'!$B$3:$B$17,'Collapsed Data'!$B5,'Raw Data'!$C$3:$C$17,'Collapsed Data'!$C5)</f>
        <v>10</v>
      </c>
      <c r="CD5">
        <f>SUMIFS('Raw Data'!CD$3:CD$17,'Raw Data'!$B$3:$B$17,'Collapsed Data'!$B5,'Raw Data'!$C$3:$C$17,'Collapsed Data'!$C5)</f>
        <v>5</v>
      </c>
      <c r="CE5">
        <f>SUMIFS('Raw Data'!CE$3:CE$17,'Raw Data'!$B$3:$B$17,'Collapsed Data'!$B5,'Raw Data'!$C$3:$C$17,'Collapsed Data'!$C5)</f>
        <v>4</v>
      </c>
    </row>
    <row r="6" spans="1:84" x14ac:dyDescent="0.25">
      <c r="A6">
        <v>4</v>
      </c>
      <c r="B6" t="s">
        <v>38</v>
      </c>
      <c r="C6" t="s">
        <v>44</v>
      </c>
      <c r="D6" s="1" t="s">
        <v>8</v>
      </c>
      <c r="E6">
        <f>SUMIFS('Raw Data'!E$3:E$16,'Raw Data'!$B$3:$B$16,'Collapsed Data'!$B6,'Raw Data'!$C$3:$C$16,'Collapsed Data'!$C6)</f>
        <v>73</v>
      </c>
      <c r="G6">
        <f>SUMIFS('Raw Data'!G$3:G$17,'Raw Data'!$B$3:$B$17,'Collapsed Data'!$B6,'Raw Data'!$C$3:$C$17,'Collapsed Data'!$C6)</f>
        <v>1</v>
      </c>
      <c r="H6">
        <f>SUMIFS('Raw Data'!H$3:H$17,'Raw Data'!$B$3:$B$17,'Collapsed Data'!$B6,'Raw Data'!$C$3:$C$17,'Collapsed Data'!$C6)</f>
        <v>0</v>
      </c>
      <c r="I6">
        <f>SUMIFS('Raw Data'!I$3:I$17,'Raw Data'!$B$3:$B$17,'Collapsed Data'!$B6,'Raw Data'!$C$3:$C$17,'Collapsed Data'!$C6)</f>
        <v>0</v>
      </c>
      <c r="J6">
        <f>SUMIFS('Raw Data'!J$3:J$17,'Raw Data'!$B$3:$B$17,'Collapsed Data'!$B6,'Raw Data'!$C$3:$C$17,'Collapsed Data'!$C6)</f>
        <v>5</v>
      </c>
      <c r="K6">
        <f>SUMIFS('Raw Data'!K$3:K$17,'Raw Data'!$B$3:$B$17,'Collapsed Data'!$B6,'Raw Data'!$C$3:$C$17,'Collapsed Data'!$C6)</f>
        <v>8</v>
      </c>
      <c r="L6">
        <f>SUMIFS('Raw Data'!L$3:L$17,'Raw Data'!$B$3:$B$17,'Collapsed Data'!$B6,'Raw Data'!$C$3:$C$17,'Collapsed Data'!$C6)</f>
        <v>14</v>
      </c>
      <c r="M6">
        <f>SUMIFS('Raw Data'!M$3:M$17,'Raw Data'!$B$3:$B$17,'Collapsed Data'!$B6,'Raw Data'!$C$3:$C$17,'Collapsed Data'!$C6)</f>
        <v>10</v>
      </c>
      <c r="N6">
        <f>SUMIFS('Raw Data'!N$3:N$17,'Raw Data'!$B$3:$B$17,'Collapsed Data'!$B6,'Raw Data'!$C$3:$C$17,'Collapsed Data'!$C6)</f>
        <v>33</v>
      </c>
      <c r="O6">
        <f>SUMIFS('Raw Data'!O$3:O$17,'Raw Data'!$B$3:$B$17,'Collapsed Data'!$B6,'Raw Data'!$C$3:$C$17,'Collapsed Data'!$C6)</f>
        <v>6</v>
      </c>
      <c r="P6">
        <f>SUMIFS('Raw Data'!P$3:P$17,'Raw Data'!$B$3:$B$17,'Collapsed Data'!$B6,'Raw Data'!$C$3:$C$17,'Collapsed Data'!$C6)</f>
        <v>7</v>
      </c>
      <c r="Q6">
        <f>SUMIFS('Raw Data'!Q$3:Q$17,'Raw Data'!$B$3:$B$17,'Collapsed Data'!$B6,'Raw Data'!$C$3:$C$17,'Collapsed Data'!$C6)</f>
        <v>5</v>
      </c>
      <c r="R6">
        <f>SUMIFS('Raw Data'!R$3:R$17,'Raw Data'!$B$3:$B$17,'Collapsed Data'!$B6,'Raw Data'!$C$3:$C$17,'Collapsed Data'!$C6)</f>
        <v>1</v>
      </c>
      <c r="S6">
        <f>SUMIFS('Raw Data'!S$3:S$17,'Raw Data'!$B$3:$B$17,'Collapsed Data'!$B6,'Raw Data'!$C$3:$C$17,'Collapsed Data'!$C6)</f>
        <v>4</v>
      </c>
      <c r="T6">
        <f>SUMIFS('Raw Data'!T$3:T$17,'Raw Data'!$B$3:$B$17,'Collapsed Data'!$B6,'Raw Data'!$C$3:$C$17,'Collapsed Data'!$C6)</f>
        <v>12</v>
      </c>
      <c r="U6">
        <f>SUMIFS('Raw Data'!U$3:U$17,'Raw Data'!$B$3:$B$17,'Collapsed Data'!$B6,'Raw Data'!$C$3:$C$17,'Collapsed Data'!$C6)</f>
        <v>1</v>
      </c>
      <c r="V6">
        <f>SUMIFS('Raw Data'!V$3:V$17,'Raw Data'!$B$3:$B$17,'Collapsed Data'!$B6,'Raw Data'!$C$3:$C$17,'Collapsed Data'!$C6)</f>
        <v>3</v>
      </c>
      <c r="W6">
        <f>SUMIFS('Raw Data'!W$3:W$17,'Raw Data'!$B$3:$B$17,'Collapsed Data'!$B6,'Raw Data'!$C$3:$C$17,'Collapsed Data'!$C6)</f>
        <v>5</v>
      </c>
      <c r="X6">
        <f>SUMIFS('Raw Data'!X$3:X$17,'Raw Data'!$B$3:$B$17,'Collapsed Data'!$B6,'Raw Data'!$C$3:$C$17,'Collapsed Data'!$C6)</f>
        <v>2</v>
      </c>
      <c r="Y6">
        <f>SUMIFS('Raw Data'!Y$3:Y$17,'Raw Data'!$B$3:$B$17,'Collapsed Data'!$B6,'Raw Data'!$C$3:$C$17,'Collapsed Data'!$C6)</f>
        <v>10</v>
      </c>
      <c r="Z6">
        <f>SUMIFS('Raw Data'!Z$3:Z$17,'Raw Data'!$B$3:$B$17,'Collapsed Data'!$B6,'Raw Data'!$C$3:$C$17,'Collapsed Data'!$C6)</f>
        <v>9</v>
      </c>
      <c r="AA6">
        <f>SUMIFS('Raw Data'!AA$3:AA$17,'Raw Data'!$B$3:$B$17,'Collapsed Data'!$B6,'Raw Data'!$C$3:$C$17,'Collapsed Data'!$C6)</f>
        <v>13</v>
      </c>
      <c r="AB6">
        <f>SUMIFS('Raw Data'!AB$3:AB$17,'Raw Data'!$B$3:$B$17,'Collapsed Data'!$B6,'Raw Data'!$C$3:$C$17,'Collapsed Data'!$C6)</f>
        <v>25</v>
      </c>
      <c r="AC6">
        <f>SUMIFS('Raw Data'!AC$3:AC$17,'Raw Data'!$B$3:$B$17,'Collapsed Data'!$B6,'Raw Data'!$C$3:$C$17,'Collapsed Data'!$C6)</f>
        <v>1</v>
      </c>
      <c r="AD6">
        <f>SUMIFS('Raw Data'!AD$3:AD$17,'Raw Data'!$B$3:$B$17,'Collapsed Data'!$B6,'Raw Data'!$C$3:$C$17,'Collapsed Data'!$C6)</f>
        <v>3</v>
      </c>
      <c r="AE6">
        <f>SUMIFS('Raw Data'!AE$3:AE$17,'Raw Data'!$B$3:$B$17,'Collapsed Data'!$B6,'Raw Data'!$C$3:$C$17,'Collapsed Data'!$C6)</f>
        <v>5</v>
      </c>
      <c r="AF6">
        <f>SUMIFS('Raw Data'!AF$3:AF$17,'Raw Data'!$B$3:$B$17,'Collapsed Data'!$B6,'Raw Data'!$C$3:$C$17,'Collapsed Data'!$C6)</f>
        <v>1</v>
      </c>
      <c r="AG6">
        <f>SUMIFS('Raw Data'!AG$3:AG$17,'Raw Data'!$B$3:$B$17,'Collapsed Data'!$B6,'Raw Data'!$C$3:$C$17,'Collapsed Data'!$C6)</f>
        <v>10</v>
      </c>
      <c r="AH6">
        <f>SUMIFS('Raw Data'!AH$3:AH$17,'Raw Data'!$B$3:$B$17,'Collapsed Data'!$B6,'Raw Data'!$C$3:$C$17,'Collapsed Data'!$C6)</f>
        <v>10</v>
      </c>
      <c r="AI6">
        <f>SUMIFS('Raw Data'!AI$3:AI$17,'Raw Data'!$B$3:$B$17,'Collapsed Data'!$B6,'Raw Data'!$C$3:$C$17,'Collapsed Data'!$C6)</f>
        <v>14</v>
      </c>
      <c r="AJ6">
        <f>SUMIFS('Raw Data'!AJ$3:AJ$17,'Raw Data'!$B$3:$B$17,'Collapsed Data'!$B6,'Raw Data'!$C$3:$C$17,'Collapsed Data'!$C6)</f>
        <v>24</v>
      </c>
      <c r="AK6">
        <f>SUMIFS('Raw Data'!AK$3:AK$17,'Raw Data'!$B$3:$B$17,'Collapsed Data'!$B6,'Raw Data'!$C$3:$C$17,'Collapsed Data'!$C6)</f>
        <v>1</v>
      </c>
      <c r="AL6">
        <f>SUMIFS('Raw Data'!AL$3:AL$17,'Raw Data'!$B$3:$B$17,'Collapsed Data'!$B6,'Raw Data'!$C$3:$C$17,'Collapsed Data'!$C6)</f>
        <v>2</v>
      </c>
      <c r="AM6">
        <f>SUMIFS('Raw Data'!AM$3:AM$17,'Raw Data'!$B$3:$B$17,'Collapsed Data'!$B6,'Raw Data'!$C$3:$C$17,'Collapsed Data'!$C6)</f>
        <v>4</v>
      </c>
      <c r="AN6">
        <f>SUMIFS('Raw Data'!AN$3:AN$17,'Raw Data'!$B$3:$B$17,'Collapsed Data'!$B6,'Raw Data'!$C$3:$C$17,'Collapsed Data'!$C6)</f>
        <v>2</v>
      </c>
      <c r="AO6">
        <f>SUMIFS('Raw Data'!AO$3:AO$17,'Raw Data'!$B$3:$B$17,'Collapsed Data'!$B6,'Raw Data'!$C$3:$C$17,'Collapsed Data'!$C6)</f>
        <v>10</v>
      </c>
      <c r="AP6">
        <f>SUMIFS('Raw Data'!AP$3:AP$17,'Raw Data'!$B$3:$B$17,'Collapsed Data'!$B6,'Raw Data'!$C$3:$C$17,'Collapsed Data'!$C6)</f>
        <v>9</v>
      </c>
      <c r="AQ6">
        <f>SUMIFS('Raw Data'!AQ$3:AQ$17,'Raw Data'!$B$3:$B$17,'Collapsed Data'!$B6,'Raw Data'!$C$3:$C$17,'Collapsed Data'!$C6)</f>
        <v>15</v>
      </c>
      <c r="AR6">
        <f>SUMIFS('Raw Data'!AR$3:AR$17,'Raw Data'!$B$3:$B$17,'Collapsed Data'!$B6,'Raw Data'!$C$3:$C$17,'Collapsed Data'!$C6)</f>
        <v>25</v>
      </c>
      <c r="AS6">
        <f>SUMIFS('Raw Data'!AS$3:AS$17,'Raw Data'!$B$3:$B$17,'Collapsed Data'!$B6,'Raw Data'!$C$3:$C$17,'Collapsed Data'!$C6)</f>
        <v>1</v>
      </c>
      <c r="AT6">
        <f>SUMIFS('Raw Data'!AT$3:AT$17,'Raw Data'!$B$3:$B$17,'Collapsed Data'!$B6,'Raw Data'!$C$3:$C$17,'Collapsed Data'!$C6)</f>
        <v>2</v>
      </c>
      <c r="AU6">
        <f>SUMIFS('Raw Data'!AU$3:AU$17,'Raw Data'!$B$3:$B$17,'Collapsed Data'!$B6,'Raw Data'!$C$3:$C$17,'Collapsed Data'!$C6)</f>
        <v>7</v>
      </c>
      <c r="AV6">
        <f>SUMIFS('Raw Data'!AV$3:AV$17,'Raw Data'!$B$3:$B$17,'Collapsed Data'!$B6,'Raw Data'!$C$3:$C$17,'Collapsed Data'!$C6)</f>
        <v>1</v>
      </c>
      <c r="AW6">
        <f>SUMIFS('Raw Data'!AW$3:AW$17,'Raw Data'!$B$3:$B$17,'Collapsed Data'!$B6,'Raw Data'!$C$3:$C$17,'Collapsed Data'!$C6)</f>
        <v>10</v>
      </c>
      <c r="AX6">
        <f>SUMIFS('Raw Data'!AX$3:AX$17,'Raw Data'!$B$3:$B$17,'Collapsed Data'!$B6,'Raw Data'!$C$3:$C$17,'Collapsed Data'!$C6)</f>
        <v>9</v>
      </c>
      <c r="AY6">
        <f>SUMIFS('Raw Data'!AY$3:AY$17,'Raw Data'!$B$3:$B$17,'Collapsed Data'!$B6,'Raw Data'!$C$3:$C$17,'Collapsed Data'!$C6)</f>
        <v>11</v>
      </c>
      <c r="AZ6">
        <f>SUMIFS('Raw Data'!AZ$3:AZ$17,'Raw Data'!$B$3:$B$17,'Collapsed Data'!$B6,'Raw Data'!$C$3:$C$17,'Collapsed Data'!$C6)</f>
        <v>26</v>
      </c>
      <c r="BA6">
        <f>SUMIFS('Raw Data'!BA$3:BA$17,'Raw Data'!$B$3:$B$17,'Collapsed Data'!$B6,'Raw Data'!$C$3:$C$17,'Collapsed Data'!$C6)</f>
        <v>2</v>
      </c>
      <c r="BB6">
        <f>SUMIFS('Raw Data'!BB$3:BB$17,'Raw Data'!$B$3:$B$17,'Collapsed Data'!$B6,'Raw Data'!$C$3:$C$17,'Collapsed Data'!$C6)</f>
        <v>2</v>
      </c>
      <c r="BC6">
        <f>SUMIFS('Raw Data'!BC$3:BC$17,'Raw Data'!$B$3:$B$17,'Collapsed Data'!$B6,'Raw Data'!$C$3:$C$17,'Collapsed Data'!$C6)</f>
        <v>4</v>
      </c>
      <c r="BD6">
        <f>SUMIFS('Raw Data'!BD$3:BD$17,'Raw Data'!$B$3:$B$17,'Collapsed Data'!$B6,'Raw Data'!$C$3:$C$17,'Collapsed Data'!$C6)</f>
        <v>2</v>
      </c>
      <c r="BE6">
        <f>SUMIFS('Raw Data'!BE$3:BE$17,'Raw Data'!$B$3:$B$17,'Collapsed Data'!$B6,'Raw Data'!$C$3:$C$17,'Collapsed Data'!$C6)</f>
        <v>9</v>
      </c>
      <c r="BF6">
        <f>SUMIFS('Raw Data'!BF$3:BF$17,'Raw Data'!$B$3:$B$17,'Collapsed Data'!$B6,'Raw Data'!$C$3:$C$17,'Collapsed Data'!$C6)</f>
        <v>11</v>
      </c>
      <c r="BG6">
        <f>SUMIFS('Raw Data'!BG$3:BG$17,'Raw Data'!$B$3:$B$17,'Collapsed Data'!$B6,'Raw Data'!$C$3:$C$17,'Collapsed Data'!$C6)</f>
        <v>10</v>
      </c>
      <c r="BH6">
        <f>SUMIFS('Raw Data'!BH$3:BH$17,'Raw Data'!$B$3:$B$17,'Collapsed Data'!$B6,'Raw Data'!$C$3:$C$17,'Collapsed Data'!$C6)</f>
        <v>28</v>
      </c>
      <c r="BI6">
        <f>SUMIFS('Raw Data'!BI$3:BI$17,'Raw Data'!$B$3:$B$17,'Collapsed Data'!$B6,'Raw Data'!$C$3:$C$17,'Collapsed Data'!$C6)</f>
        <v>1</v>
      </c>
      <c r="BJ6">
        <f>SUMIFS('Raw Data'!BJ$3:BJ$17,'Raw Data'!$B$3:$B$17,'Collapsed Data'!$B6,'Raw Data'!$C$3:$C$17,'Collapsed Data'!$C6)</f>
        <v>3</v>
      </c>
      <c r="BK6">
        <f>SUMIFS('Raw Data'!BK$3:BK$17,'Raw Data'!$B$3:$B$17,'Collapsed Data'!$B6,'Raw Data'!$C$3:$C$17,'Collapsed Data'!$C6)</f>
        <v>4</v>
      </c>
      <c r="BL6">
        <f>SUMIFS('Raw Data'!BL$3:BL$17,'Raw Data'!$B$3:$B$17,'Collapsed Data'!$B6,'Raw Data'!$C$3:$C$17,'Collapsed Data'!$C6)</f>
        <v>1</v>
      </c>
      <c r="BM6">
        <f>SUMIFS('Raw Data'!BM$3:BM$17,'Raw Data'!$B$3:$B$17,'Collapsed Data'!$B6,'Raw Data'!$C$3:$C$17,'Collapsed Data'!$C6)</f>
        <v>11</v>
      </c>
      <c r="BN6">
        <f>SUMIFS('Raw Data'!BN$3:BN$17,'Raw Data'!$B$3:$B$17,'Collapsed Data'!$B6,'Raw Data'!$C$3:$C$17,'Collapsed Data'!$C6)</f>
        <v>10</v>
      </c>
      <c r="BO6">
        <f>SUMIFS('Raw Data'!BO$3:BO$17,'Raw Data'!$B$3:$B$17,'Collapsed Data'!$B6,'Raw Data'!$C$3:$C$17,'Collapsed Data'!$C6)</f>
        <v>10</v>
      </c>
      <c r="BP6">
        <f>SUMIFS('Raw Data'!BP$3:BP$17,'Raw Data'!$B$3:$B$17,'Collapsed Data'!$B6,'Raw Data'!$C$3:$C$17,'Collapsed Data'!$C6)</f>
        <v>28</v>
      </c>
      <c r="BQ6">
        <f>SUMIFS('Raw Data'!BQ$3:BQ$17,'Raw Data'!$B$3:$B$17,'Collapsed Data'!$B6,'Raw Data'!$C$3:$C$17,'Collapsed Data'!$C6)</f>
        <v>1</v>
      </c>
      <c r="BR6">
        <f>SUMIFS('Raw Data'!BR$3:BR$17,'Raw Data'!$B$3:$B$17,'Collapsed Data'!$B6,'Raw Data'!$C$3:$C$17,'Collapsed Data'!$C6)</f>
        <v>3</v>
      </c>
      <c r="BS6">
        <f>SUMIFS('Raw Data'!BS$3:BS$17,'Raw Data'!$B$3:$B$17,'Collapsed Data'!$B6,'Raw Data'!$C$3:$C$17,'Collapsed Data'!$C6)</f>
        <v>4</v>
      </c>
      <c r="BT6">
        <f>SUMIFS('Raw Data'!BT$3:BT$17,'Raw Data'!$B$3:$B$17,'Collapsed Data'!$B6,'Raw Data'!$C$3:$C$17,'Collapsed Data'!$C6)</f>
        <v>1</v>
      </c>
      <c r="BU6">
        <f>SUMIFS('Raw Data'!BU$3:BU$17,'Raw Data'!$B$3:$B$17,'Collapsed Data'!$B6,'Raw Data'!$C$3:$C$17,'Collapsed Data'!$C6)</f>
        <v>11</v>
      </c>
      <c r="BV6">
        <f>SUMIFS('Raw Data'!BV$3:BV$17,'Raw Data'!$B$3:$B$17,'Collapsed Data'!$B6,'Raw Data'!$C$3:$C$17,'Collapsed Data'!$C6)</f>
        <v>10</v>
      </c>
      <c r="BW6">
        <f>SUMIFS('Raw Data'!BW$3:BW$17,'Raw Data'!$B$3:$B$17,'Collapsed Data'!$B6,'Raw Data'!$C$3:$C$17,'Collapsed Data'!$C6)</f>
        <v>12</v>
      </c>
      <c r="BX6">
        <f>SUMIFS('Raw Data'!BX$3:BX$17,'Raw Data'!$B$3:$B$17,'Collapsed Data'!$B6,'Raw Data'!$C$3:$C$17,'Collapsed Data'!$C6)</f>
        <v>25</v>
      </c>
      <c r="BY6">
        <f>SUMIFS('Raw Data'!BY$3:BY$17,'Raw Data'!$B$3:$B$17,'Collapsed Data'!$B6,'Raw Data'!$C$3:$C$17,'Collapsed Data'!$C6)</f>
        <v>2</v>
      </c>
      <c r="BZ6">
        <f>SUMIFS('Raw Data'!BZ$3:BZ$17,'Raw Data'!$B$3:$B$17,'Collapsed Data'!$B6,'Raw Data'!$C$3:$C$17,'Collapsed Data'!$C6)</f>
        <v>1</v>
      </c>
      <c r="CA6">
        <f>SUMIFS('Raw Data'!CA$3:CA$17,'Raw Data'!$B$3:$B$17,'Collapsed Data'!$B6,'Raw Data'!$C$3:$C$17,'Collapsed Data'!$C6)</f>
        <v>4</v>
      </c>
      <c r="CB6">
        <f>SUMIFS('Raw Data'!CB$3:CB$17,'Raw Data'!$B$3:$B$17,'Collapsed Data'!$B6,'Raw Data'!$C$3:$C$17,'Collapsed Data'!$C6)</f>
        <v>10</v>
      </c>
      <c r="CC6">
        <f>SUMIFS('Raw Data'!CC$3:CC$17,'Raw Data'!$B$3:$B$17,'Collapsed Data'!$B6,'Raw Data'!$C$3:$C$17,'Collapsed Data'!$C6)</f>
        <v>14</v>
      </c>
      <c r="CD6">
        <f>SUMIFS('Raw Data'!CD$3:CD$17,'Raw Data'!$B$3:$B$17,'Collapsed Data'!$B6,'Raw Data'!$C$3:$C$17,'Collapsed Data'!$C6)</f>
        <v>13</v>
      </c>
      <c r="CE6">
        <f>SUMIFS('Raw Data'!CE$3:CE$17,'Raw Data'!$B$3:$B$17,'Collapsed Data'!$B6,'Raw Data'!$C$3:$C$17,'Collapsed Data'!$C6)</f>
        <v>21</v>
      </c>
    </row>
    <row r="7" spans="1:84" x14ac:dyDescent="0.25">
      <c r="A7">
        <v>5</v>
      </c>
      <c r="B7" t="s">
        <v>41</v>
      </c>
      <c r="C7" t="s">
        <v>42</v>
      </c>
      <c r="D7" s="1" t="s">
        <v>8</v>
      </c>
      <c r="E7">
        <f>SUMIFS('Raw Data'!E$3:E$16,'Raw Data'!$B$3:$B$16,'Collapsed Data'!$B7,'Raw Data'!$C$3:$C$16,'Collapsed Data'!$C7)</f>
        <v>48</v>
      </c>
      <c r="G7">
        <f>SUMIFS('Raw Data'!G$3:G$17,'Raw Data'!$B$3:$B$17,'Collapsed Data'!$B7,'Raw Data'!$C$3:$C$17,'Collapsed Data'!$C7)</f>
        <v>2</v>
      </c>
      <c r="H7">
        <f>SUMIFS('Raw Data'!H$3:H$17,'Raw Data'!$B$3:$B$17,'Collapsed Data'!$B7,'Raw Data'!$C$3:$C$17,'Collapsed Data'!$C7)</f>
        <v>0</v>
      </c>
      <c r="I7">
        <f>SUMIFS('Raw Data'!I$3:I$17,'Raw Data'!$B$3:$B$17,'Collapsed Data'!$B7,'Raw Data'!$C$3:$C$17,'Collapsed Data'!$C7)</f>
        <v>1</v>
      </c>
      <c r="J7">
        <f>SUMIFS('Raw Data'!J$3:J$17,'Raw Data'!$B$3:$B$17,'Collapsed Data'!$B7,'Raw Data'!$C$3:$C$17,'Collapsed Data'!$C7)</f>
        <v>1</v>
      </c>
      <c r="K7">
        <f>SUMIFS('Raw Data'!K$3:K$17,'Raw Data'!$B$3:$B$17,'Collapsed Data'!$B7,'Raw Data'!$C$3:$C$17,'Collapsed Data'!$C7)</f>
        <v>8</v>
      </c>
      <c r="L7">
        <f>SUMIFS('Raw Data'!L$3:L$17,'Raw Data'!$B$3:$B$17,'Collapsed Data'!$B7,'Raw Data'!$C$3:$C$17,'Collapsed Data'!$C7)</f>
        <v>3</v>
      </c>
      <c r="M7">
        <f>SUMIFS('Raw Data'!M$3:M$17,'Raw Data'!$B$3:$B$17,'Collapsed Data'!$B7,'Raw Data'!$C$3:$C$17,'Collapsed Data'!$C7)</f>
        <v>30</v>
      </c>
      <c r="N7">
        <f>SUMIFS('Raw Data'!N$3:N$17,'Raw Data'!$B$3:$B$17,'Collapsed Data'!$B7,'Raw Data'!$C$3:$C$17,'Collapsed Data'!$C7)</f>
        <v>21</v>
      </c>
      <c r="O7">
        <f>SUMIFS('Raw Data'!O$3:O$17,'Raw Data'!$B$3:$B$17,'Collapsed Data'!$B7,'Raw Data'!$C$3:$C$17,'Collapsed Data'!$C7)</f>
        <v>3</v>
      </c>
      <c r="P7">
        <f>SUMIFS('Raw Data'!P$3:P$17,'Raw Data'!$B$3:$B$17,'Collapsed Data'!$B7,'Raw Data'!$C$3:$C$17,'Collapsed Data'!$C7)</f>
        <v>5</v>
      </c>
      <c r="Q7">
        <f>SUMIFS('Raw Data'!Q$3:Q$17,'Raw Data'!$B$3:$B$17,'Collapsed Data'!$B7,'Raw Data'!$C$3:$C$17,'Collapsed Data'!$C7)</f>
        <v>1</v>
      </c>
      <c r="R7">
        <f>SUMIFS('Raw Data'!R$3:R$17,'Raw Data'!$B$3:$B$17,'Collapsed Data'!$B7,'Raw Data'!$C$3:$C$17,'Collapsed Data'!$C7)</f>
        <v>4</v>
      </c>
      <c r="S7">
        <f>SUMIFS('Raw Data'!S$3:S$17,'Raw Data'!$B$3:$B$17,'Collapsed Data'!$B7,'Raw Data'!$C$3:$C$17,'Collapsed Data'!$C7)</f>
        <v>1</v>
      </c>
      <c r="T7">
        <f>SUMIFS('Raw Data'!T$3:T$17,'Raw Data'!$B$3:$B$17,'Collapsed Data'!$B7,'Raw Data'!$C$3:$C$17,'Collapsed Data'!$C7)</f>
        <v>8</v>
      </c>
      <c r="U7">
        <f>SUMIFS('Raw Data'!U$3:U$17,'Raw Data'!$B$3:$B$17,'Collapsed Data'!$B7,'Raw Data'!$C$3:$C$17,'Collapsed Data'!$C7)</f>
        <v>5</v>
      </c>
      <c r="V7">
        <f>SUMIFS('Raw Data'!V$3:V$17,'Raw Data'!$B$3:$B$17,'Collapsed Data'!$B7,'Raw Data'!$C$3:$C$17,'Collapsed Data'!$C7)</f>
        <v>1</v>
      </c>
      <c r="W7">
        <f>SUMIFS('Raw Data'!W$3:W$17,'Raw Data'!$B$3:$B$17,'Collapsed Data'!$B7,'Raw Data'!$C$3:$C$17,'Collapsed Data'!$C7)</f>
        <v>0</v>
      </c>
      <c r="X7">
        <f>SUMIFS('Raw Data'!X$3:X$17,'Raw Data'!$B$3:$B$17,'Collapsed Data'!$B7,'Raw Data'!$C$3:$C$17,'Collapsed Data'!$C7)</f>
        <v>0</v>
      </c>
      <c r="Y7">
        <f>SUMIFS('Raw Data'!Y$3:Y$17,'Raw Data'!$B$3:$B$17,'Collapsed Data'!$B7,'Raw Data'!$C$3:$C$17,'Collapsed Data'!$C7)</f>
        <v>7</v>
      </c>
      <c r="Z7">
        <f>SUMIFS('Raw Data'!Z$3:Z$17,'Raw Data'!$B$3:$B$17,'Collapsed Data'!$B7,'Raw Data'!$C$3:$C$17,'Collapsed Data'!$C7)</f>
        <v>4</v>
      </c>
      <c r="AA7">
        <f>SUMIFS('Raw Data'!AA$3:AA$17,'Raw Data'!$B$3:$B$17,'Collapsed Data'!$B7,'Raw Data'!$C$3:$C$17,'Collapsed Data'!$C7)</f>
        <v>11</v>
      </c>
      <c r="AB7">
        <f>SUMIFS('Raw Data'!AB$3:AB$17,'Raw Data'!$B$3:$B$17,'Collapsed Data'!$B7,'Raw Data'!$C$3:$C$17,'Collapsed Data'!$C7)</f>
        <v>16</v>
      </c>
      <c r="AC7">
        <f>SUMIFS('Raw Data'!AC$3:AC$17,'Raw Data'!$B$3:$B$17,'Collapsed Data'!$B7,'Raw Data'!$C$3:$C$17,'Collapsed Data'!$C7)</f>
        <v>5</v>
      </c>
      <c r="AD7">
        <f>SUMIFS('Raw Data'!AD$3:AD$17,'Raw Data'!$B$3:$B$17,'Collapsed Data'!$B7,'Raw Data'!$C$3:$C$17,'Collapsed Data'!$C7)</f>
        <v>1</v>
      </c>
      <c r="AE7">
        <f>SUMIFS('Raw Data'!AE$3:AE$17,'Raw Data'!$B$3:$B$17,'Collapsed Data'!$B7,'Raw Data'!$C$3:$C$17,'Collapsed Data'!$C7)</f>
        <v>0</v>
      </c>
      <c r="AF7">
        <f>SUMIFS('Raw Data'!AF$3:AF$17,'Raw Data'!$B$3:$B$17,'Collapsed Data'!$B7,'Raw Data'!$C$3:$C$17,'Collapsed Data'!$C7)</f>
        <v>2</v>
      </c>
      <c r="AG7">
        <f>SUMIFS('Raw Data'!AG$3:AG$17,'Raw Data'!$B$3:$B$17,'Collapsed Data'!$B7,'Raw Data'!$C$3:$C$17,'Collapsed Data'!$C7)</f>
        <v>7</v>
      </c>
      <c r="AH7">
        <f>SUMIFS('Raw Data'!AH$3:AH$17,'Raw Data'!$B$3:$B$17,'Collapsed Data'!$B7,'Raw Data'!$C$3:$C$17,'Collapsed Data'!$C7)</f>
        <v>3</v>
      </c>
      <c r="AI7">
        <f>SUMIFS('Raw Data'!AI$3:AI$17,'Raw Data'!$B$3:$B$17,'Collapsed Data'!$B7,'Raw Data'!$C$3:$C$17,'Collapsed Data'!$C7)</f>
        <v>10</v>
      </c>
      <c r="AJ7">
        <f>SUMIFS('Raw Data'!AJ$3:AJ$17,'Raw Data'!$B$3:$B$17,'Collapsed Data'!$B7,'Raw Data'!$C$3:$C$17,'Collapsed Data'!$C7)</f>
        <v>15</v>
      </c>
      <c r="AK7">
        <f>SUMIFS('Raw Data'!AK$3:AK$17,'Raw Data'!$B$3:$B$17,'Collapsed Data'!$B7,'Raw Data'!$C$3:$C$17,'Collapsed Data'!$C7)</f>
        <v>6</v>
      </c>
      <c r="AL7">
        <f>SUMIFS('Raw Data'!AL$3:AL$17,'Raw Data'!$B$3:$B$17,'Collapsed Data'!$B7,'Raw Data'!$C$3:$C$17,'Collapsed Data'!$C7)</f>
        <v>1</v>
      </c>
      <c r="AM7">
        <f>SUMIFS('Raw Data'!AM$3:AM$17,'Raw Data'!$B$3:$B$17,'Collapsed Data'!$B7,'Raw Data'!$C$3:$C$17,'Collapsed Data'!$C7)</f>
        <v>0</v>
      </c>
      <c r="AN7">
        <f>SUMIFS('Raw Data'!AN$3:AN$17,'Raw Data'!$B$3:$B$17,'Collapsed Data'!$B7,'Raw Data'!$C$3:$C$17,'Collapsed Data'!$C7)</f>
        <v>0</v>
      </c>
      <c r="AO7">
        <f>SUMIFS('Raw Data'!AO$3:AO$17,'Raw Data'!$B$3:$B$17,'Collapsed Data'!$B7,'Raw Data'!$C$3:$C$17,'Collapsed Data'!$C7)</f>
        <v>2</v>
      </c>
      <c r="AP7">
        <f>SUMIFS('Raw Data'!AP$3:AP$17,'Raw Data'!$B$3:$B$17,'Collapsed Data'!$B7,'Raw Data'!$C$3:$C$17,'Collapsed Data'!$C7)</f>
        <v>6</v>
      </c>
      <c r="AQ7">
        <f>SUMIFS('Raw Data'!AQ$3:AQ$17,'Raw Data'!$B$3:$B$17,'Collapsed Data'!$B7,'Raw Data'!$C$3:$C$17,'Collapsed Data'!$C7)</f>
        <v>9</v>
      </c>
      <c r="AR7">
        <f>SUMIFS('Raw Data'!AR$3:AR$17,'Raw Data'!$B$3:$B$17,'Collapsed Data'!$B7,'Raw Data'!$C$3:$C$17,'Collapsed Data'!$C7)</f>
        <v>18</v>
      </c>
      <c r="AS7">
        <f>SUMIFS('Raw Data'!AS$3:AS$17,'Raw Data'!$B$3:$B$17,'Collapsed Data'!$B7,'Raw Data'!$C$3:$C$17,'Collapsed Data'!$C7)</f>
        <v>5</v>
      </c>
      <c r="AT7">
        <f>SUMIFS('Raw Data'!AT$3:AT$17,'Raw Data'!$B$3:$B$17,'Collapsed Data'!$B7,'Raw Data'!$C$3:$C$17,'Collapsed Data'!$C7)</f>
        <v>1</v>
      </c>
      <c r="AU7">
        <f>SUMIFS('Raw Data'!AU$3:AU$17,'Raw Data'!$B$3:$B$17,'Collapsed Data'!$B7,'Raw Data'!$C$3:$C$17,'Collapsed Data'!$C7)</f>
        <v>1</v>
      </c>
      <c r="AV7">
        <f>SUMIFS('Raw Data'!AV$3:AV$17,'Raw Data'!$B$3:$B$17,'Collapsed Data'!$B7,'Raw Data'!$C$3:$C$17,'Collapsed Data'!$C7)</f>
        <v>1</v>
      </c>
      <c r="AW7">
        <f>SUMIFS('Raw Data'!AW$3:AW$17,'Raw Data'!$B$3:$B$17,'Collapsed Data'!$B7,'Raw Data'!$C$3:$C$17,'Collapsed Data'!$C7)</f>
        <v>4</v>
      </c>
      <c r="AX7">
        <f>SUMIFS('Raw Data'!AX$3:AX$17,'Raw Data'!$B$3:$B$17,'Collapsed Data'!$B7,'Raw Data'!$C$3:$C$17,'Collapsed Data'!$C7)</f>
        <v>8</v>
      </c>
      <c r="AY7">
        <f>SUMIFS('Raw Data'!AY$3:AY$17,'Raw Data'!$B$3:$B$17,'Collapsed Data'!$B7,'Raw Data'!$C$3:$C$17,'Collapsed Data'!$C7)</f>
        <v>9</v>
      </c>
      <c r="AZ7">
        <f>SUMIFS('Raw Data'!AZ$3:AZ$17,'Raw Data'!$B$3:$B$17,'Collapsed Data'!$B7,'Raw Data'!$C$3:$C$17,'Collapsed Data'!$C7)</f>
        <v>14</v>
      </c>
      <c r="BA7">
        <f>SUMIFS('Raw Data'!BA$3:BA$17,'Raw Data'!$B$3:$B$17,'Collapsed Data'!$B7,'Raw Data'!$C$3:$C$17,'Collapsed Data'!$C7)</f>
        <v>6</v>
      </c>
      <c r="BB7">
        <f>SUMIFS('Raw Data'!BB$3:BB$17,'Raw Data'!$B$3:$B$17,'Collapsed Data'!$B7,'Raw Data'!$C$3:$C$17,'Collapsed Data'!$C7)</f>
        <v>1</v>
      </c>
      <c r="BC7">
        <f>SUMIFS('Raw Data'!BC$3:BC$17,'Raw Data'!$B$3:$B$17,'Collapsed Data'!$B7,'Raw Data'!$C$3:$C$17,'Collapsed Data'!$C7)</f>
        <v>0</v>
      </c>
      <c r="BD7">
        <f>SUMIFS('Raw Data'!BD$3:BD$17,'Raw Data'!$B$3:$B$17,'Collapsed Data'!$B7,'Raw Data'!$C$3:$C$17,'Collapsed Data'!$C7)</f>
        <v>0</v>
      </c>
      <c r="BE7">
        <f>SUMIFS('Raw Data'!BE$3:BE$17,'Raw Data'!$B$3:$B$17,'Collapsed Data'!$B7,'Raw Data'!$C$3:$C$17,'Collapsed Data'!$C7)</f>
        <v>2</v>
      </c>
      <c r="BF7">
        <f>SUMIFS('Raw Data'!BF$3:BF$17,'Raw Data'!$B$3:$B$17,'Collapsed Data'!$B7,'Raw Data'!$C$3:$C$17,'Collapsed Data'!$C7)</f>
        <v>2</v>
      </c>
      <c r="BG7">
        <f>SUMIFS('Raw Data'!BG$3:BG$17,'Raw Data'!$B$3:$B$17,'Collapsed Data'!$B7,'Raw Data'!$C$3:$C$17,'Collapsed Data'!$C7)</f>
        <v>8</v>
      </c>
      <c r="BH7">
        <f>SUMIFS('Raw Data'!BH$3:BH$17,'Raw Data'!$B$3:$B$17,'Collapsed Data'!$B7,'Raw Data'!$C$3:$C$17,'Collapsed Data'!$C7)</f>
        <v>22</v>
      </c>
      <c r="BI7">
        <f>SUMIFS('Raw Data'!BI$3:BI$17,'Raw Data'!$B$3:$B$17,'Collapsed Data'!$B7,'Raw Data'!$C$3:$C$17,'Collapsed Data'!$C7)</f>
        <v>4</v>
      </c>
      <c r="BJ7">
        <f>SUMIFS('Raw Data'!BJ$3:BJ$17,'Raw Data'!$B$3:$B$17,'Collapsed Data'!$B7,'Raw Data'!$C$3:$C$17,'Collapsed Data'!$C7)</f>
        <v>1</v>
      </c>
      <c r="BK7">
        <f>SUMIFS('Raw Data'!BK$3:BK$17,'Raw Data'!$B$3:$B$17,'Collapsed Data'!$B7,'Raw Data'!$C$3:$C$17,'Collapsed Data'!$C7)</f>
        <v>1</v>
      </c>
      <c r="BL7">
        <f>SUMIFS('Raw Data'!BL$3:BL$17,'Raw Data'!$B$3:$B$17,'Collapsed Data'!$B7,'Raw Data'!$C$3:$C$17,'Collapsed Data'!$C7)</f>
        <v>1</v>
      </c>
      <c r="BM7">
        <f>SUMIFS('Raw Data'!BM$3:BM$17,'Raw Data'!$B$3:$B$17,'Collapsed Data'!$B7,'Raw Data'!$C$3:$C$17,'Collapsed Data'!$C7)</f>
        <v>5</v>
      </c>
      <c r="BN7">
        <f>SUMIFS('Raw Data'!BN$3:BN$17,'Raw Data'!$B$3:$B$17,'Collapsed Data'!$B7,'Raw Data'!$C$3:$C$17,'Collapsed Data'!$C7)</f>
        <v>7</v>
      </c>
      <c r="BO7">
        <f>SUMIFS('Raw Data'!BO$3:BO$17,'Raw Data'!$B$3:$B$17,'Collapsed Data'!$B7,'Raw Data'!$C$3:$C$17,'Collapsed Data'!$C7)</f>
        <v>10</v>
      </c>
      <c r="BP7">
        <f>SUMIFS('Raw Data'!BP$3:BP$17,'Raw Data'!$B$3:$B$17,'Collapsed Data'!$B7,'Raw Data'!$C$3:$C$17,'Collapsed Data'!$C7)</f>
        <v>13</v>
      </c>
      <c r="BQ7">
        <f>SUMIFS('Raw Data'!BQ$3:BQ$17,'Raw Data'!$B$3:$B$17,'Collapsed Data'!$B7,'Raw Data'!$C$3:$C$17,'Collapsed Data'!$C7)</f>
        <v>6</v>
      </c>
      <c r="BR7">
        <f>SUMIFS('Raw Data'!BR$3:BR$17,'Raw Data'!$B$3:$B$17,'Collapsed Data'!$B7,'Raw Data'!$C$3:$C$17,'Collapsed Data'!$C7)</f>
        <v>1</v>
      </c>
      <c r="BS7">
        <f>SUMIFS('Raw Data'!BS$3:BS$17,'Raw Data'!$B$3:$B$17,'Collapsed Data'!$B7,'Raw Data'!$C$3:$C$17,'Collapsed Data'!$C7)</f>
        <v>0</v>
      </c>
      <c r="BT7">
        <f>SUMIFS('Raw Data'!BT$3:BT$17,'Raw Data'!$B$3:$B$17,'Collapsed Data'!$B7,'Raw Data'!$C$3:$C$17,'Collapsed Data'!$C7)</f>
        <v>1</v>
      </c>
      <c r="BU7">
        <f>SUMIFS('Raw Data'!BU$3:BU$17,'Raw Data'!$B$3:$B$17,'Collapsed Data'!$B7,'Raw Data'!$C$3:$C$17,'Collapsed Data'!$C7)</f>
        <v>6</v>
      </c>
      <c r="BV7">
        <f>SUMIFS('Raw Data'!BV$3:BV$17,'Raw Data'!$B$3:$B$17,'Collapsed Data'!$B7,'Raw Data'!$C$3:$C$17,'Collapsed Data'!$C7)</f>
        <v>5</v>
      </c>
      <c r="BW7">
        <f>SUMIFS('Raw Data'!BW$3:BW$17,'Raw Data'!$B$3:$B$17,'Collapsed Data'!$B7,'Raw Data'!$C$3:$C$17,'Collapsed Data'!$C7)</f>
        <v>8</v>
      </c>
      <c r="BX7">
        <f>SUMIFS('Raw Data'!BX$3:BX$17,'Raw Data'!$B$3:$B$17,'Collapsed Data'!$B7,'Raw Data'!$C$3:$C$17,'Collapsed Data'!$C7)</f>
        <v>15</v>
      </c>
      <c r="BY7">
        <f>SUMIFS('Raw Data'!BY$3:BY$17,'Raw Data'!$B$3:$B$17,'Collapsed Data'!$B7,'Raw Data'!$C$3:$C$17,'Collapsed Data'!$C7)</f>
        <v>0</v>
      </c>
      <c r="BZ7">
        <f>SUMIFS('Raw Data'!BZ$3:BZ$17,'Raw Data'!$B$3:$B$17,'Collapsed Data'!$B7,'Raw Data'!$C$3:$C$17,'Collapsed Data'!$C7)</f>
        <v>1</v>
      </c>
      <c r="CA7">
        <f>SUMIFS('Raw Data'!CA$3:CA$17,'Raw Data'!$B$3:$B$17,'Collapsed Data'!$B7,'Raw Data'!$C$3:$C$17,'Collapsed Data'!$C7)</f>
        <v>1</v>
      </c>
      <c r="CB7">
        <f>SUMIFS('Raw Data'!CB$3:CB$17,'Raw Data'!$B$3:$B$17,'Collapsed Data'!$B7,'Raw Data'!$C$3:$C$17,'Collapsed Data'!$C7)</f>
        <v>8</v>
      </c>
      <c r="CC7">
        <f>SUMIFS('Raw Data'!CC$3:CC$17,'Raw Data'!$B$3:$B$17,'Collapsed Data'!$B7,'Raw Data'!$C$3:$C$17,'Collapsed Data'!$C7)</f>
        <v>11</v>
      </c>
      <c r="CD7">
        <f>SUMIFS('Raw Data'!CD$3:CD$17,'Raw Data'!$B$3:$B$17,'Collapsed Data'!$B7,'Raw Data'!$C$3:$C$17,'Collapsed Data'!$C7)</f>
        <v>10</v>
      </c>
      <c r="CE7">
        <f>SUMIFS('Raw Data'!CE$3:CE$17,'Raw Data'!$B$3:$B$17,'Collapsed Data'!$B7,'Raw Data'!$C$3:$C$17,'Collapsed Data'!$C7)</f>
        <v>12</v>
      </c>
    </row>
    <row r="8" spans="1:84" x14ac:dyDescent="0.25">
      <c r="A8">
        <v>6</v>
      </c>
      <c r="B8" t="s">
        <v>38</v>
      </c>
      <c r="C8" t="s">
        <v>39</v>
      </c>
      <c r="D8" s="1" t="s">
        <v>8</v>
      </c>
      <c r="E8">
        <f>SUMIFS('Raw Data'!E$3:E$16,'Raw Data'!$B$3:$B$16,'Collapsed Data'!$B8,'Raw Data'!$C$3:$C$16,'Collapsed Data'!$C8)</f>
        <v>45</v>
      </c>
      <c r="G8">
        <f>SUMIFS('Raw Data'!G$3:G$17,'Raw Data'!$B$3:$B$17,'Collapsed Data'!$B8,'Raw Data'!$C$3:$C$17,'Collapsed Data'!$C8)</f>
        <v>4</v>
      </c>
      <c r="H8">
        <f>SUMIFS('Raw Data'!H$3:H$17,'Raw Data'!$B$3:$B$17,'Collapsed Data'!$B8,'Raw Data'!$C$3:$C$17,'Collapsed Data'!$C8)</f>
        <v>0</v>
      </c>
      <c r="I8">
        <f>SUMIFS('Raw Data'!I$3:I$17,'Raw Data'!$B$3:$B$17,'Collapsed Data'!$B8,'Raw Data'!$C$3:$C$17,'Collapsed Data'!$C8)</f>
        <v>0</v>
      </c>
      <c r="J8">
        <f>SUMIFS('Raw Data'!J$3:J$17,'Raw Data'!$B$3:$B$17,'Collapsed Data'!$B8,'Raw Data'!$C$3:$C$17,'Collapsed Data'!$C8)</f>
        <v>0</v>
      </c>
      <c r="K8">
        <f>SUMIFS('Raw Data'!K$3:K$17,'Raw Data'!$B$3:$B$17,'Collapsed Data'!$B8,'Raw Data'!$C$3:$C$17,'Collapsed Data'!$C8)</f>
        <v>1</v>
      </c>
      <c r="L8">
        <f>SUMIFS('Raw Data'!L$3:L$17,'Raw Data'!$B$3:$B$17,'Collapsed Data'!$B8,'Raw Data'!$C$3:$C$17,'Collapsed Data'!$C8)</f>
        <v>7</v>
      </c>
      <c r="M8">
        <f>SUMIFS('Raw Data'!M$3:M$17,'Raw Data'!$B$3:$B$17,'Collapsed Data'!$B8,'Raw Data'!$C$3:$C$17,'Collapsed Data'!$C8)</f>
        <v>32</v>
      </c>
      <c r="N8">
        <f>SUMIFS('Raw Data'!N$3:N$17,'Raw Data'!$B$3:$B$17,'Collapsed Data'!$B8,'Raw Data'!$C$3:$C$17,'Collapsed Data'!$C8)</f>
        <v>28</v>
      </c>
      <c r="O8">
        <f>SUMIFS('Raw Data'!O$3:O$17,'Raw Data'!$B$3:$B$17,'Collapsed Data'!$B8,'Raw Data'!$C$3:$C$17,'Collapsed Data'!$C8)</f>
        <v>3</v>
      </c>
      <c r="P8">
        <f>SUMIFS('Raw Data'!P$3:P$17,'Raw Data'!$B$3:$B$17,'Collapsed Data'!$B8,'Raw Data'!$C$3:$C$17,'Collapsed Data'!$C8)</f>
        <v>5</v>
      </c>
      <c r="Q8">
        <f>SUMIFS('Raw Data'!Q$3:Q$17,'Raw Data'!$B$3:$B$17,'Collapsed Data'!$B8,'Raw Data'!$C$3:$C$17,'Collapsed Data'!$C8)</f>
        <v>1</v>
      </c>
      <c r="R8">
        <f>SUMIFS('Raw Data'!R$3:R$17,'Raw Data'!$B$3:$B$17,'Collapsed Data'!$B8,'Raw Data'!$C$3:$C$17,'Collapsed Data'!$C8)</f>
        <v>1</v>
      </c>
      <c r="S8">
        <f>SUMIFS('Raw Data'!S$3:S$17,'Raw Data'!$B$3:$B$17,'Collapsed Data'!$B8,'Raw Data'!$C$3:$C$17,'Collapsed Data'!$C8)</f>
        <v>1</v>
      </c>
      <c r="T8">
        <f>SUMIFS('Raw Data'!T$3:T$17,'Raw Data'!$B$3:$B$17,'Collapsed Data'!$B8,'Raw Data'!$C$3:$C$17,'Collapsed Data'!$C8)</f>
        <v>5</v>
      </c>
      <c r="U8">
        <f>SUMIFS('Raw Data'!U$3:U$17,'Raw Data'!$B$3:$B$17,'Collapsed Data'!$B8,'Raw Data'!$C$3:$C$17,'Collapsed Data'!$C8)</f>
        <v>4</v>
      </c>
      <c r="V8">
        <f>SUMIFS('Raw Data'!V$3:V$17,'Raw Data'!$B$3:$B$17,'Collapsed Data'!$B8,'Raw Data'!$C$3:$C$17,'Collapsed Data'!$C8)</f>
        <v>0</v>
      </c>
      <c r="W8">
        <f>SUMIFS('Raw Data'!W$3:W$17,'Raw Data'!$B$3:$B$17,'Collapsed Data'!$B8,'Raw Data'!$C$3:$C$17,'Collapsed Data'!$C8)</f>
        <v>0</v>
      </c>
      <c r="X8">
        <f>SUMIFS('Raw Data'!X$3:X$17,'Raw Data'!$B$3:$B$17,'Collapsed Data'!$B8,'Raw Data'!$C$3:$C$17,'Collapsed Data'!$C8)</f>
        <v>2</v>
      </c>
      <c r="Y8">
        <f>SUMIFS('Raw Data'!Y$3:Y$17,'Raw Data'!$B$3:$B$17,'Collapsed Data'!$B8,'Raw Data'!$C$3:$C$17,'Collapsed Data'!$C8)</f>
        <v>6</v>
      </c>
      <c r="Z8">
        <f>SUMIFS('Raw Data'!Z$3:Z$17,'Raw Data'!$B$3:$B$17,'Collapsed Data'!$B8,'Raw Data'!$C$3:$C$17,'Collapsed Data'!$C8)</f>
        <v>4</v>
      </c>
      <c r="AA8">
        <f>SUMIFS('Raw Data'!AA$3:AA$17,'Raw Data'!$B$3:$B$17,'Collapsed Data'!$B8,'Raw Data'!$C$3:$C$17,'Collapsed Data'!$C8)</f>
        <v>16</v>
      </c>
      <c r="AB8">
        <f>SUMIFS('Raw Data'!AB$3:AB$17,'Raw Data'!$B$3:$B$17,'Collapsed Data'!$B8,'Raw Data'!$C$3:$C$17,'Collapsed Data'!$C8)</f>
        <v>12</v>
      </c>
      <c r="AC8">
        <f>SUMIFS('Raw Data'!AC$3:AC$17,'Raw Data'!$B$3:$B$17,'Collapsed Data'!$B8,'Raw Data'!$C$3:$C$17,'Collapsed Data'!$C8)</f>
        <v>3</v>
      </c>
      <c r="AD8">
        <f>SUMIFS('Raw Data'!AD$3:AD$17,'Raw Data'!$B$3:$B$17,'Collapsed Data'!$B8,'Raw Data'!$C$3:$C$17,'Collapsed Data'!$C8)</f>
        <v>1</v>
      </c>
      <c r="AE8">
        <f>SUMIFS('Raw Data'!AE$3:AE$17,'Raw Data'!$B$3:$B$17,'Collapsed Data'!$B8,'Raw Data'!$C$3:$C$17,'Collapsed Data'!$C8)</f>
        <v>1</v>
      </c>
      <c r="AF8">
        <f>SUMIFS('Raw Data'!AF$3:AF$17,'Raw Data'!$B$3:$B$17,'Collapsed Data'!$B8,'Raw Data'!$C$3:$C$17,'Collapsed Data'!$C8)</f>
        <v>1</v>
      </c>
      <c r="AG8">
        <f>SUMIFS('Raw Data'!AG$3:AG$17,'Raw Data'!$B$3:$B$17,'Collapsed Data'!$B8,'Raw Data'!$C$3:$C$17,'Collapsed Data'!$C8)</f>
        <v>8</v>
      </c>
      <c r="AH8">
        <f>SUMIFS('Raw Data'!AH$3:AH$17,'Raw Data'!$B$3:$B$17,'Collapsed Data'!$B8,'Raw Data'!$C$3:$C$17,'Collapsed Data'!$C8)</f>
        <v>5</v>
      </c>
      <c r="AI8">
        <f>SUMIFS('Raw Data'!AI$3:AI$17,'Raw Data'!$B$3:$B$17,'Collapsed Data'!$B8,'Raw Data'!$C$3:$C$17,'Collapsed Data'!$C8)</f>
        <v>11</v>
      </c>
      <c r="AJ8">
        <f>SUMIFS('Raw Data'!AJ$3:AJ$17,'Raw Data'!$B$3:$B$17,'Collapsed Data'!$B8,'Raw Data'!$C$3:$C$17,'Collapsed Data'!$C8)</f>
        <v>14</v>
      </c>
      <c r="AK8">
        <f>SUMIFS('Raw Data'!AK$3:AK$17,'Raw Data'!$B$3:$B$17,'Collapsed Data'!$B8,'Raw Data'!$C$3:$C$17,'Collapsed Data'!$C8)</f>
        <v>4</v>
      </c>
      <c r="AL8">
        <f>SUMIFS('Raw Data'!AL$3:AL$17,'Raw Data'!$B$3:$B$17,'Collapsed Data'!$B8,'Raw Data'!$C$3:$C$17,'Collapsed Data'!$C8)</f>
        <v>2</v>
      </c>
      <c r="AM8">
        <f>SUMIFS('Raw Data'!AM$3:AM$17,'Raw Data'!$B$3:$B$17,'Collapsed Data'!$B8,'Raw Data'!$C$3:$C$17,'Collapsed Data'!$C8)</f>
        <v>0</v>
      </c>
      <c r="AN8">
        <f>SUMIFS('Raw Data'!AN$3:AN$17,'Raw Data'!$B$3:$B$17,'Collapsed Data'!$B8,'Raw Data'!$C$3:$C$17,'Collapsed Data'!$C8)</f>
        <v>2</v>
      </c>
      <c r="AO8">
        <f>SUMIFS('Raw Data'!AO$3:AO$17,'Raw Data'!$B$3:$B$17,'Collapsed Data'!$B8,'Raw Data'!$C$3:$C$17,'Collapsed Data'!$C8)</f>
        <v>6</v>
      </c>
      <c r="AP8">
        <f>SUMIFS('Raw Data'!AP$3:AP$17,'Raw Data'!$B$3:$B$17,'Collapsed Data'!$B8,'Raw Data'!$C$3:$C$17,'Collapsed Data'!$C8)</f>
        <v>5</v>
      </c>
      <c r="AQ8">
        <f>SUMIFS('Raw Data'!AQ$3:AQ$17,'Raw Data'!$B$3:$B$17,'Collapsed Data'!$B8,'Raw Data'!$C$3:$C$17,'Collapsed Data'!$C8)</f>
        <v>10</v>
      </c>
      <c r="AR8">
        <f>SUMIFS('Raw Data'!AR$3:AR$17,'Raw Data'!$B$3:$B$17,'Collapsed Data'!$B8,'Raw Data'!$C$3:$C$17,'Collapsed Data'!$C8)</f>
        <v>15</v>
      </c>
      <c r="AS8">
        <f>SUMIFS('Raw Data'!AS$3:AS$17,'Raw Data'!$B$3:$B$17,'Collapsed Data'!$B8,'Raw Data'!$C$3:$C$17,'Collapsed Data'!$C8)</f>
        <v>3</v>
      </c>
      <c r="AT8">
        <f>SUMIFS('Raw Data'!AT$3:AT$17,'Raw Data'!$B$3:$B$17,'Collapsed Data'!$B8,'Raw Data'!$C$3:$C$17,'Collapsed Data'!$C8)</f>
        <v>2</v>
      </c>
      <c r="AU8">
        <f>SUMIFS('Raw Data'!AU$3:AU$17,'Raw Data'!$B$3:$B$17,'Collapsed Data'!$B8,'Raw Data'!$C$3:$C$17,'Collapsed Data'!$C8)</f>
        <v>0</v>
      </c>
      <c r="AV8">
        <f>SUMIFS('Raw Data'!AV$3:AV$17,'Raw Data'!$B$3:$B$17,'Collapsed Data'!$B8,'Raw Data'!$C$3:$C$17,'Collapsed Data'!$C8)</f>
        <v>1</v>
      </c>
      <c r="AW8">
        <f>SUMIFS('Raw Data'!AW$3:AW$17,'Raw Data'!$B$3:$B$17,'Collapsed Data'!$B8,'Raw Data'!$C$3:$C$17,'Collapsed Data'!$C8)</f>
        <v>9</v>
      </c>
      <c r="AX8">
        <f>SUMIFS('Raw Data'!AX$3:AX$17,'Raw Data'!$B$3:$B$17,'Collapsed Data'!$B8,'Raw Data'!$C$3:$C$17,'Collapsed Data'!$C8)</f>
        <v>7</v>
      </c>
      <c r="AY8">
        <f>SUMIFS('Raw Data'!AY$3:AY$17,'Raw Data'!$B$3:$B$17,'Collapsed Data'!$B8,'Raw Data'!$C$3:$C$17,'Collapsed Data'!$C8)</f>
        <v>10</v>
      </c>
      <c r="AZ8">
        <f>SUMIFS('Raw Data'!AZ$3:AZ$17,'Raw Data'!$B$3:$B$17,'Collapsed Data'!$B8,'Raw Data'!$C$3:$C$17,'Collapsed Data'!$C8)</f>
        <v>11</v>
      </c>
      <c r="BA8">
        <f>SUMIFS('Raw Data'!BA$3:BA$17,'Raw Data'!$B$3:$B$17,'Collapsed Data'!$B8,'Raw Data'!$C$3:$C$17,'Collapsed Data'!$C8)</f>
        <v>3</v>
      </c>
      <c r="BB8">
        <f>SUMIFS('Raw Data'!BB$3:BB$17,'Raw Data'!$B$3:$B$17,'Collapsed Data'!$B8,'Raw Data'!$C$3:$C$17,'Collapsed Data'!$C8)</f>
        <v>0</v>
      </c>
      <c r="BC8">
        <f>SUMIFS('Raw Data'!BC$3:BC$17,'Raw Data'!$B$3:$B$17,'Collapsed Data'!$B8,'Raw Data'!$C$3:$C$17,'Collapsed Data'!$C8)</f>
        <v>0</v>
      </c>
      <c r="BD8">
        <f>SUMIFS('Raw Data'!BD$3:BD$17,'Raw Data'!$B$3:$B$17,'Collapsed Data'!$B8,'Raw Data'!$C$3:$C$17,'Collapsed Data'!$C8)</f>
        <v>1</v>
      </c>
      <c r="BE8">
        <f>SUMIFS('Raw Data'!BE$3:BE$17,'Raw Data'!$B$3:$B$17,'Collapsed Data'!$B8,'Raw Data'!$C$3:$C$17,'Collapsed Data'!$C8)</f>
        <v>8</v>
      </c>
      <c r="BF8">
        <f>SUMIFS('Raw Data'!BF$3:BF$17,'Raw Data'!$B$3:$B$17,'Collapsed Data'!$B8,'Raw Data'!$C$3:$C$17,'Collapsed Data'!$C8)</f>
        <v>5</v>
      </c>
      <c r="BG8">
        <f>SUMIFS('Raw Data'!BG$3:BG$17,'Raw Data'!$B$3:$B$17,'Collapsed Data'!$B8,'Raw Data'!$C$3:$C$17,'Collapsed Data'!$C8)</f>
        <v>8</v>
      </c>
      <c r="BH8">
        <f>SUMIFS('Raw Data'!BH$3:BH$17,'Raw Data'!$B$3:$B$17,'Collapsed Data'!$B8,'Raw Data'!$C$3:$C$17,'Collapsed Data'!$C8)</f>
        <v>18</v>
      </c>
      <c r="BI8">
        <f>SUMIFS('Raw Data'!BI$3:BI$17,'Raw Data'!$B$3:$B$17,'Collapsed Data'!$B8,'Raw Data'!$C$3:$C$17,'Collapsed Data'!$C8)</f>
        <v>4</v>
      </c>
      <c r="BJ8">
        <f>SUMIFS('Raw Data'!BJ$3:BJ$17,'Raw Data'!$B$3:$B$17,'Collapsed Data'!$B8,'Raw Data'!$C$3:$C$17,'Collapsed Data'!$C8)</f>
        <v>2</v>
      </c>
      <c r="BK8">
        <f>SUMIFS('Raw Data'!BK$3:BK$17,'Raw Data'!$B$3:$B$17,'Collapsed Data'!$B8,'Raw Data'!$C$3:$C$17,'Collapsed Data'!$C8)</f>
        <v>0</v>
      </c>
      <c r="BL8">
        <f>SUMIFS('Raw Data'!BL$3:BL$17,'Raw Data'!$B$3:$B$17,'Collapsed Data'!$B8,'Raw Data'!$C$3:$C$17,'Collapsed Data'!$C8)</f>
        <v>2</v>
      </c>
      <c r="BM8">
        <f>SUMIFS('Raw Data'!BM$3:BM$17,'Raw Data'!$B$3:$B$17,'Collapsed Data'!$B8,'Raw Data'!$C$3:$C$17,'Collapsed Data'!$C8)</f>
        <v>5</v>
      </c>
      <c r="BN8">
        <f>SUMIFS('Raw Data'!BN$3:BN$17,'Raw Data'!$B$3:$B$17,'Collapsed Data'!$B8,'Raw Data'!$C$3:$C$17,'Collapsed Data'!$C8)</f>
        <v>5</v>
      </c>
      <c r="BO8">
        <f>SUMIFS('Raw Data'!BO$3:BO$17,'Raw Data'!$B$3:$B$17,'Collapsed Data'!$B8,'Raw Data'!$C$3:$C$17,'Collapsed Data'!$C8)</f>
        <v>11</v>
      </c>
      <c r="BP8">
        <f>SUMIFS('Raw Data'!BP$3:BP$17,'Raw Data'!$B$3:$B$17,'Collapsed Data'!$B8,'Raw Data'!$C$3:$C$17,'Collapsed Data'!$C8)</f>
        <v>15</v>
      </c>
      <c r="BQ8">
        <f>SUMIFS('Raw Data'!BQ$3:BQ$17,'Raw Data'!$B$3:$B$17,'Collapsed Data'!$B8,'Raw Data'!$C$3:$C$17,'Collapsed Data'!$C8)</f>
        <v>4</v>
      </c>
      <c r="BR8">
        <f>SUMIFS('Raw Data'!BR$3:BR$17,'Raw Data'!$B$3:$B$17,'Collapsed Data'!$B8,'Raw Data'!$C$3:$C$17,'Collapsed Data'!$C8)</f>
        <v>1</v>
      </c>
      <c r="BS8">
        <f>SUMIFS('Raw Data'!BS$3:BS$17,'Raw Data'!$B$3:$B$17,'Collapsed Data'!$B8,'Raw Data'!$C$3:$C$17,'Collapsed Data'!$C8)</f>
        <v>3</v>
      </c>
      <c r="BT8">
        <f>SUMIFS('Raw Data'!BT$3:BT$17,'Raw Data'!$B$3:$B$17,'Collapsed Data'!$B8,'Raw Data'!$C$3:$C$17,'Collapsed Data'!$C8)</f>
        <v>1</v>
      </c>
      <c r="BU8">
        <f>SUMIFS('Raw Data'!BU$3:BU$17,'Raw Data'!$B$3:$B$17,'Collapsed Data'!$B8,'Raw Data'!$C$3:$C$17,'Collapsed Data'!$C8)</f>
        <v>8</v>
      </c>
      <c r="BV8">
        <f>SUMIFS('Raw Data'!BV$3:BV$17,'Raw Data'!$B$3:$B$17,'Collapsed Data'!$B8,'Raw Data'!$C$3:$C$17,'Collapsed Data'!$C8)</f>
        <v>1</v>
      </c>
      <c r="BW8">
        <f>SUMIFS('Raw Data'!BW$3:BW$17,'Raw Data'!$B$3:$B$17,'Collapsed Data'!$B8,'Raw Data'!$C$3:$C$17,'Collapsed Data'!$C8)</f>
        <v>15</v>
      </c>
      <c r="BX8">
        <f>SUMIFS('Raw Data'!BX$3:BX$17,'Raw Data'!$B$3:$B$17,'Collapsed Data'!$B8,'Raw Data'!$C$3:$C$17,'Collapsed Data'!$C8)</f>
        <v>11</v>
      </c>
      <c r="BY8">
        <f>SUMIFS('Raw Data'!BY$3:BY$17,'Raw Data'!$B$3:$B$17,'Collapsed Data'!$B8,'Raw Data'!$C$3:$C$17,'Collapsed Data'!$C8)</f>
        <v>2</v>
      </c>
      <c r="BZ8">
        <f>SUMIFS('Raw Data'!BZ$3:BZ$17,'Raw Data'!$B$3:$B$17,'Collapsed Data'!$B8,'Raw Data'!$C$3:$C$17,'Collapsed Data'!$C8)</f>
        <v>1</v>
      </c>
      <c r="CA8">
        <f>SUMIFS('Raw Data'!CA$3:CA$17,'Raw Data'!$B$3:$B$17,'Collapsed Data'!$B8,'Raw Data'!$C$3:$C$17,'Collapsed Data'!$C8)</f>
        <v>1</v>
      </c>
      <c r="CB8">
        <f>SUMIFS('Raw Data'!CB$3:CB$17,'Raw Data'!$B$3:$B$17,'Collapsed Data'!$B8,'Raw Data'!$C$3:$C$17,'Collapsed Data'!$C8)</f>
        <v>9</v>
      </c>
      <c r="CC8">
        <f>SUMIFS('Raw Data'!CC$3:CC$17,'Raw Data'!$B$3:$B$17,'Collapsed Data'!$B8,'Raw Data'!$C$3:$C$17,'Collapsed Data'!$C8)</f>
        <v>8</v>
      </c>
      <c r="CD8">
        <f>SUMIFS('Raw Data'!CD$3:CD$17,'Raw Data'!$B$3:$B$17,'Collapsed Data'!$B8,'Raw Data'!$C$3:$C$17,'Collapsed Data'!$C8)</f>
        <v>13</v>
      </c>
      <c r="CE8">
        <f>SUMIFS('Raw Data'!CE$3:CE$17,'Raw Data'!$B$3:$B$17,'Collapsed Data'!$B8,'Raw Data'!$C$3:$C$17,'Collapsed Data'!$C8)</f>
        <v>8</v>
      </c>
    </row>
    <row r="9" spans="1:84" x14ac:dyDescent="0.25">
      <c r="A9">
        <v>7</v>
      </c>
      <c r="B9" t="s">
        <v>36</v>
      </c>
      <c r="C9" t="s">
        <v>37</v>
      </c>
      <c r="D9" s="1" t="s">
        <v>8</v>
      </c>
      <c r="E9">
        <f>SUMIFS('Raw Data'!E$3:E$16,'Raw Data'!$B$3:$B$16,'Collapsed Data'!$B9,'Raw Data'!$C$3:$C$16,'Collapsed Data'!$C9)</f>
        <v>43</v>
      </c>
      <c r="F9">
        <f>SUMIFS('Raw Data'!F$3:F$16,'Raw Data'!$B$3:$B$16,'Collapsed Data'!$B9,'Raw Data'!$C$3:$C$16,'Collapsed Data'!$C9)</f>
        <v>79</v>
      </c>
      <c r="G9">
        <f>SUMIFS('Raw Data'!G$3:G$17,'Raw Data'!$B$3:$B$17,'Collapsed Data'!$B9,'Raw Data'!$C$3:$C$17,'Collapsed Data'!$C9)</f>
        <v>1</v>
      </c>
      <c r="H9">
        <f>SUMIFS('Raw Data'!H$3:H$17,'Raw Data'!$B$3:$B$17,'Collapsed Data'!$B9,'Raw Data'!$C$3:$C$17,'Collapsed Data'!$C9)</f>
        <v>0</v>
      </c>
      <c r="I9">
        <f>SUMIFS('Raw Data'!I$3:I$17,'Raw Data'!$B$3:$B$17,'Collapsed Data'!$B9,'Raw Data'!$C$3:$C$17,'Collapsed Data'!$C9)</f>
        <v>0</v>
      </c>
      <c r="J9">
        <f>SUMIFS('Raw Data'!J$3:J$17,'Raw Data'!$B$3:$B$17,'Collapsed Data'!$B9,'Raw Data'!$C$3:$C$17,'Collapsed Data'!$C9)</f>
        <v>0</v>
      </c>
      <c r="K9">
        <f>SUMIFS('Raw Data'!K$3:K$17,'Raw Data'!$B$3:$B$17,'Collapsed Data'!$B9,'Raw Data'!$C$3:$C$17,'Collapsed Data'!$C9)</f>
        <v>4</v>
      </c>
      <c r="L9">
        <f>SUMIFS('Raw Data'!L$3:L$17,'Raw Data'!$B$3:$B$17,'Collapsed Data'!$B9,'Raw Data'!$C$3:$C$17,'Collapsed Data'!$C9)</f>
        <v>10</v>
      </c>
      <c r="M9">
        <f>SUMIFS('Raw Data'!M$3:M$17,'Raw Data'!$B$3:$B$17,'Collapsed Data'!$B9,'Raw Data'!$C$3:$C$17,'Collapsed Data'!$C9)</f>
        <v>28</v>
      </c>
      <c r="N9">
        <f>SUMIFS('Raw Data'!N$3:N$17,'Raw Data'!$B$3:$B$17,'Collapsed Data'!$B9,'Raw Data'!$C$3:$C$17,'Collapsed Data'!$C9)</f>
        <v>13</v>
      </c>
      <c r="O9">
        <f>SUMIFS('Raw Data'!O$3:O$17,'Raw Data'!$B$3:$B$17,'Collapsed Data'!$B9,'Raw Data'!$C$3:$C$17,'Collapsed Data'!$C9)</f>
        <v>11</v>
      </c>
      <c r="P9">
        <f>SUMIFS('Raw Data'!P$3:P$17,'Raw Data'!$B$3:$B$17,'Collapsed Data'!$B9,'Raw Data'!$C$3:$C$17,'Collapsed Data'!$C9)</f>
        <v>11</v>
      </c>
      <c r="Q9">
        <f>SUMIFS('Raw Data'!Q$3:Q$17,'Raw Data'!$B$3:$B$17,'Collapsed Data'!$B9,'Raw Data'!$C$3:$C$17,'Collapsed Data'!$C9)</f>
        <v>4</v>
      </c>
      <c r="R9">
        <f>SUMIFS('Raw Data'!R$3:R$17,'Raw Data'!$B$3:$B$17,'Collapsed Data'!$B9,'Raw Data'!$C$3:$C$17,'Collapsed Data'!$C9)</f>
        <v>0</v>
      </c>
      <c r="S9">
        <f>SUMIFS('Raw Data'!S$3:S$17,'Raw Data'!$B$3:$B$17,'Collapsed Data'!$B9,'Raw Data'!$C$3:$C$17,'Collapsed Data'!$C9)</f>
        <v>0</v>
      </c>
      <c r="T9">
        <f>SUMIFS('Raw Data'!T$3:T$17,'Raw Data'!$B$3:$B$17,'Collapsed Data'!$B9,'Raw Data'!$C$3:$C$17,'Collapsed Data'!$C9)</f>
        <v>2</v>
      </c>
      <c r="U9">
        <f>SUMIFS('Raw Data'!U$3:U$17,'Raw Data'!$B$3:$B$17,'Collapsed Data'!$B9,'Raw Data'!$C$3:$C$17,'Collapsed Data'!$C9)</f>
        <v>0</v>
      </c>
      <c r="V9">
        <f>SUMIFS('Raw Data'!V$3:V$17,'Raw Data'!$B$3:$B$17,'Collapsed Data'!$B9,'Raw Data'!$C$3:$C$17,'Collapsed Data'!$C9)</f>
        <v>3</v>
      </c>
      <c r="W9">
        <f>SUMIFS('Raw Data'!W$3:W$17,'Raw Data'!$B$3:$B$17,'Collapsed Data'!$B9,'Raw Data'!$C$3:$C$17,'Collapsed Data'!$C9)</f>
        <v>0</v>
      </c>
      <c r="X9">
        <f>SUMIFS('Raw Data'!X$3:X$17,'Raw Data'!$B$3:$B$17,'Collapsed Data'!$B9,'Raw Data'!$C$3:$C$17,'Collapsed Data'!$C9)</f>
        <v>4</v>
      </c>
      <c r="Y9">
        <f>SUMIFS('Raw Data'!Y$3:Y$17,'Raw Data'!$B$3:$B$17,'Collapsed Data'!$B9,'Raw Data'!$C$3:$C$17,'Collapsed Data'!$C9)</f>
        <v>8</v>
      </c>
      <c r="Z9">
        <f>SUMIFS('Raw Data'!Z$3:Z$17,'Raw Data'!$B$3:$B$17,'Collapsed Data'!$B9,'Raw Data'!$C$3:$C$17,'Collapsed Data'!$C9)</f>
        <v>6</v>
      </c>
      <c r="AA9">
        <f>SUMIFS('Raw Data'!AA$3:AA$17,'Raw Data'!$B$3:$B$17,'Collapsed Data'!$B9,'Raw Data'!$C$3:$C$17,'Collapsed Data'!$C9)</f>
        <v>9</v>
      </c>
      <c r="AB9">
        <f>SUMIFS('Raw Data'!AB$3:AB$17,'Raw Data'!$B$3:$B$17,'Collapsed Data'!$B9,'Raw Data'!$C$3:$C$17,'Collapsed Data'!$C9)</f>
        <v>13</v>
      </c>
      <c r="AC9">
        <f>SUMIFS('Raw Data'!AC$3:AC$17,'Raw Data'!$B$3:$B$17,'Collapsed Data'!$B9,'Raw Data'!$C$3:$C$17,'Collapsed Data'!$C9)</f>
        <v>0</v>
      </c>
      <c r="AD9">
        <f>SUMIFS('Raw Data'!AD$3:AD$17,'Raw Data'!$B$3:$B$17,'Collapsed Data'!$B9,'Raw Data'!$C$3:$C$17,'Collapsed Data'!$C9)</f>
        <v>4</v>
      </c>
      <c r="AE9">
        <f>SUMIFS('Raw Data'!AE$3:AE$17,'Raw Data'!$B$3:$B$17,'Collapsed Data'!$B9,'Raw Data'!$C$3:$C$17,'Collapsed Data'!$C9)</f>
        <v>2</v>
      </c>
      <c r="AF9">
        <f>SUMIFS('Raw Data'!AF$3:AF$17,'Raw Data'!$B$3:$B$17,'Collapsed Data'!$B9,'Raw Data'!$C$3:$C$17,'Collapsed Data'!$C9)</f>
        <v>2</v>
      </c>
      <c r="AG9">
        <f>SUMIFS('Raw Data'!AG$3:AG$17,'Raw Data'!$B$3:$B$17,'Collapsed Data'!$B9,'Raw Data'!$C$3:$C$17,'Collapsed Data'!$C9)</f>
        <v>15</v>
      </c>
      <c r="AH9">
        <f>SUMIFS('Raw Data'!AH$3:AH$17,'Raw Data'!$B$3:$B$17,'Collapsed Data'!$B9,'Raw Data'!$C$3:$C$17,'Collapsed Data'!$C9)</f>
        <v>4</v>
      </c>
      <c r="AI9">
        <f>SUMIFS('Raw Data'!AI$3:AI$17,'Raw Data'!$B$3:$B$17,'Collapsed Data'!$B9,'Raw Data'!$C$3:$C$17,'Collapsed Data'!$C9)</f>
        <v>8</v>
      </c>
      <c r="AJ9">
        <f>SUMIFS('Raw Data'!AJ$3:AJ$17,'Raw Data'!$B$3:$B$17,'Collapsed Data'!$B9,'Raw Data'!$C$3:$C$17,'Collapsed Data'!$C9)</f>
        <v>8</v>
      </c>
      <c r="AK9">
        <f>SUMIFS('Raw Data'!AK$3:AK$17,'Raw Data'!$B$3:$B$17,'Collapsed Data'!$B9,'Raw Data'!$C$3:$C$17,'Collapsed Data'!$C9)</f>
        <v>0</v>
      </c>
      <c r="AL9">
        <f>SUMIFS('Raw Data'!AL$3:AL$17,'Raw Data'!$B$3:$B$17,'Collapsed Data'!$B9,'Raw Data'!$C$3:$C$17,'Collapsed Data'!$C9)</f>
        <v>4</v>
      </c>
      <c r="AM9">
        <f>SUMIFS('Raw Data'!AM$3:AM$17,'Raw Data'!$B$3:$B$17,'Collapsed Data'!$B9,'Raw Data'!$C$3:$C$17,'Collapsed Data'!$C9)</f>
        <v>0</v>
      </c>
      <c r="AN9">
        <f>SUMIFS('Raw Data'!AN$3:AN$17,'Raw Data'!$B$3:$B$17,'Collapsed Data'!$B9,'Raw Data'!$C$3:$C$17,'Collapsed Data'!$C9)</f>
        <v>4</v>
      </c>
      <c r="AO9">
        <f>SUMIFS('Raw Data'!AO$3:AO$17,'Raw Data'!$B$3:$B$17,'Collapsed Data'!$B9,'Raw Data'!$C$3:$C$17,'Collapsed Data'!$C9)</f>
        <v>9</v>
      </c>
      <c r="AP9">
        <f>SUMIFS('Raw Data'!AP$3:AP$17,'Raw Data'!$B$3:$B$17,'Collapsed Data'!$B9,'Raw Data'!$C$3:$C$17,'Collapsed Data'!$C9)</f>
        <v>3</v>
      </c>
      <c r="AQ9">
        <f>SUMIFS('Raw Data'!AQ$3:AQ$17,'Raw Data'!$B$3:$B$17,'Collapsed Data'!$B9,'Raw Data'!$C$3:$C$17,'Collapsed Data'!$C9)</f>
        <v>6</v>
      </c>
      <c r="AR9">
        <f>SUMIFS('Raw Data'!AR$3:AR$17,'Raw Data'!$B$3:$B$17,'Collapsed Data'!$B9,'Raw Data'!$C$3:$C$17,'Collapsed Data'!$C9)</f>
        <v>17</v>
      </c>
      <c r="AS9">
        <f>SUMIFS('Raw Data'!AS$3:AS$17,'Raw Data'!$B$3:$B$17,'Collapsed Data'!$B9,'Raw Data'!$C$3:$C$17,'Collapsed Data'!$C9)</f>
        <v>0</v>
      </c>
      <c r="AT9">
        <f>SUMIFS('Raw Data'!AT$3:AT$17,'Raw Data'!$B$3:$B$17,'Collapsed Data'!$B9,'Raw Data'!$C$3:$C$17,'Collapsed Data'!$C9)</f>
        <v>6</v>
      </c>
      <c r="AU9">
        <f>SUMIFS('Raw Data'!AU$3:AU$17,'Raw Data'!$B$3:$B$17,'Collapsed Data'!$B9,'Raw Data'!$C$3:$C$17,'Collapsed Data'!$C9)</f>
        <v>5</v>
      </c>
      <c r="AV9">
        <f>SUMIFS('Raw Data'!AV$3:AV$17,'Raw Data'!$B$3:$B$17,'Collapsed Data'!$B9,'Raw Data'!$C$3:$C$17,'Collapsed Data'!$C9)</f>
        <v>5</v>
      </c>
      <c r="AW9">
        <f>SUMIFS('Raw Data'!AW$3:AW$17,'Raw Data'!$B$3:$B$17,'Collapsed Data'!$B9,'Raw Data'!$C$3:$C$17,'Collapsed Data'!$C9)</f>
        <v>10</v>
      </c>
      <c r="AX9">
        <f>SUMIFS('Raw Data'!AX$3:AX$17,'Raw Data'!$B$3:$B$17,'Collapsed Data'!$B9,'Raw Data'!$C$3:$C$17,'Collapsed Data'!$C9)</f>
        <v>3</v>
      </c>
      <c r="AY9">
        <f>SUMIFS('Raw Data'!AY$3:AY$17,'Raw Data'!$B$3:$B$17,'Collapsed Data'!$B9,'Raw Data'!$C$3:$C$17,'Collapsed Data'!$C9)</f>
        <v>7</v>
      </c>
      <c r="AZ9">
        <f>SUMIFS('Raw Data'!AZ$3:AZ$17,'Raw Data'!$B$3:$B$17,'Collapsed Data'!$B9,'Raw Data'!$C$3:$C$17,'Collapsed Data'!$C9)</f>
        <v>7</v>
      </c>
      <c r="BA9">
        <f>SUMIFS('Raw Data'!BA$3:BA$17,'Raw Data'!$B$3:$B$17,'Collapsed Data'!$B9,'Raw Data'!$C$3:$C$17,'Collapsed Data'!$C9)</f>
        <v>1</v>
      </c>
      <c r="BB9">
        <f>SUMIFS('Raw Data'!BB$3:BB$17,'Raw Data'!$B$3:$B$17,'Collapsed Data'!$B9,'Raw Data'!$C$3:$C$17,'Collapsed Data'!$C9)</f>
        <v>4</v>
      </c>
      <c r="BC9">
        <f>SUMIFS('Raw Data'!BC$3:BC$17,'Raw Data'!$B$3:$B$17,'Collapsed Data'!$B9,'Raw Data'!$C$3:$C$17,'Collapsed Data'!$C9)</f>
        <v>0</v>
      </c>
      <c r="BD9">
        <f>SUMIFS('Raw Data'!BD$3:BD$17,'Raw Data'!$B$3:$B$17,'Collapsed Data'!$B9,'Raw Data'!$C$3:$C$17,'Collapsed Data'!$C9)</f>
        <v>0</v>
      </c>
      <c r="BE9">
        <f>SUMIFS('Raw Data'!BE$3:BE$17,'Raw Data'!$B$3:$B$17,'Collapsed Data'!$B9,'Raw Data'!$C$3:$C$17,'Collapsed Data'!$C9)</f>
        <v>4</v>
      </c>
      <c r="BF9">
        <f>SUMIFS('Raw Data'!BF$3:BF$17,'Raw Data'!$B$3:$B$17,'Collapsed Data'!$B9,'Raw Data'!$C$3:$C$17,'Collapsed Data'!$C9)</f>
        <v>2</v>
      </c>
      <c r="BG9">
        <f>SUMIFS('Raw Data'!BG$3:BG$17,'Raw Data'!$B$3:$B$17,'Collapsed Data'!$B9,'Raw Data'!$C$3:$C$17,'Collapsed Data'!$C9)</f>
        <v>7</v>
      </c>
      <c r="BH9">
        <f>SUMIFS('Raw Data'!BH$3:BH$17,'Raw Data'!$B$3:$B$17,'Collapsed Data'!$B9,'Raw Data'!$C$3:$C$17,'Collapsed Data'!$C9)</f>
        <v>24</v>
      </c>
      <c r="BI9">
        <f>SUMIFS('Raw Data'!BI$3:BI$17,'Raw Data'!$B$3:$B$17,'Collapsed Data'!$B9,'Raw Data'!$C$3:$C$17,'Collapsed Data'!$C9)</f>
        <v>0</v>
      </c>
      <c r="BJ9">
        <f>SUMIFS('Raw Data'!BJ$3:BJ$17,'Raw Data'!$B$3:$B$17,'Collapsed Data'!$B9,'Raw Data'!$C$3:$C$17,'Collapsed Data'!$C9)</f>
        <v>8</v>
      </c>
      <c r="BK9">
        <f>SUMIFS('Raw Data'!BK$3:BK$17,'Raw Data'!$B$3:$B$17,'Collapsed Data'!$B9,'Raw Data'!$C$3:$C$17,'Collapsed Data'!$C9)</f>
        <v>8</v>
      </c>
      <c r="BL9">
        <f>SUMIFS('Raw Data'!BL$3:BL$17,'Raw Data'!$B$3:$B$17,'Collapsed Data'!$B9,'Raw Data'!$C$3:$C$17,'Collapsed Data'!$C9)</f>
        <v>2</v>
      </c>
      <c r="BM9">
        <f>SUMIFS('Raw Data'!BM$3:BM$17,'Raw Data'!$B$3:$B$17,'Collapsed Data'!$B9,'Raw Data'!$C$3:$C$17,'Collapsed Data'!$C9)</f>
        <v>6</v>
      </c>
      <c r="BN9">
        <f>SUMIFS('Raw Data'!BN$3:BN$17,'Raw Data'!$B$3:$B$17,'Collapsed Data'!$B9,'Raw Data'!$C$3:$C$17,'Collapsed Data'!$C9)</f>
        <v>5</v>
      </c>
      <c r="BO9">
        <f>SUMIFS('Raw Data'!BO$3:BO$17,'Raw Data'!$B$3:$B$17,'Collapsed Data'!$B9,'Raw Data'!$C$3:$C$17,'Collapsed Data'!$C9)</f>
        <v>5</v>
      </c>
      <c r="BP9">
        <f>SUMIFS('Raw Data'!BP$3:BP$17,'Raw Data'!$B$3:$B$17,'Collapsed Data'!$B9,'Raw Data'!$C$3:$C$17,'Collapsed Data'!$C9)</f>
        <v>9</v>
      </c>
      <c r="BQ9">
        <f>SUMIFS('Raw Data'!BQ$3:BQ$17,'Raw Data'!$B$3:$B$17,'Collapsed Data'!$B9,'Raw Data'!$C$3:$C$17,'Collapsed Data'!$C9)</f>
        <v>2</v>
      </c>
      <c r="BR9">
        <f>SUMIFS('Raw Data'!BR$3:BR$17,'Raw Data'!$B$3:$B$17,'Collapsed Data'!$B9,'Raw Data'!$C$3:$C$17,'Collapsed Data'!$C9)</f>
        <v>10</v>
      </c>
      <c r="BS9">
        <f>SUMIFS('Raw Data'!BS$3:BS$17,'Raw Data'!$B$3:$B$17,'Collapsed Data'!$B9,'Raw Data'!$C$3:$C$17,'Collapsed Data'!$C9)</f>
        <v>3</v>
      </c>
      <c r="BT9">
        <f>SUMIFS('Raw Data'!BT$3:BT$17,'Raw Data'!$B$3:$B$17,'Collapsed Data'!$B9,'Raw Data'!$C$3:$C$17,'Collapsed Data'!$C9)</f>
        <v>4</v>
      </c>
      <c r="BU9">
        <f>SUMIFS('Raw Data'!BU$3:BU$17,'Raw Data'!$B$3:$B$17,'Collapsed Data'!$B9,'Raw Data'!$C$3:$C$17,'Collapsed Data'!$C9)</f>
        <v>9</v>
      </c>
      <c r="BV9">
        <f>SUMIFS('Raw Data'!BV$3:BV$17,'Raw Data'!$B$3:$B$17,'Collapsed Data'!$B9,'Raw Data'!$C$3:$C$17,'Collapsed Data'!$C9)</f>
        <v>3</v>
      </c>
      <c r="BW9">
        <f>SUMIFS('Raw Data'!BW$3:BW$17,'Raw Data'!$B$3:$B$17,'Collapsed Data'!$B9,'Raw Data'!$C$3:$C$17,'Collapsed Data'!$C9)</f>
        <v>5</v>
      </c>
      <c r="BX9">
        <f>SUMIFS('Raw Data'!BX$3:BX$17,'Raw Data'!$B$3:$B$17,'Collapsed Data'!$B9,'Raw Data'!$C$3:$C$17,'Collapsed Data'!$C9)</f>
        <v>7</v>
      </c>
      <c r="BY9">
        <f>SUMIFS('Raw Data'!BY$3:BY$17,'Raw Data'!$B$3:$B$17,'Collapsed Data'!$B9,'Raw Data'!$C$3:$C$17,'Collapsed Data'!$C9)</f>
        <v>3</v>
      </c>
      <c r="BZ9">
        <f>SUMIFS('Raw Data'!BZ$3:BZ$17,'Raw Data'!$B$3:$B$17,'Collapsed Data'!$B9,'Raw Data'!$C$3:$C$17,'Collapsed Data'!$C9)</f>
        <v>2</v>
      </c>
      <c r="CA9">
        <f>SUMIFS('Raw Data'!CA$3:CA$17,'Raw Data'!$B$3:$B$17,'Collapsed Data'!$B9,'Raw Data'!$C$3:$C$17,'Collapsed Data'!$C9)</f>
        <v>7</v>
      </c>
      <c r="CB9">
        <f>SUMIFS('Raw Data'!CB$3:CB$17,'Raw Data'!$B$3:$B$17,'Collapsed Data'!$B9,'Raw Data'!$C$3:$C$17,'Collapsed Data'!$C9)</f>
        <v>12</v>
      </c>
      <c r="CC9">
        <f>SUMIFS('Raw Data'!CC$3:CC$17,'Raw Data'!$B$3:$B$17,'Collapsed Data'!$B9,'Raw Data'!$C$3:$C$17,'Collapsed Data'!$C9)</f>
        <v>5</v>
      </c>
      <c r="CD9">
        <f>SUMIFS('Raw Data'!CD$3:CD$17,'Raw Data'!$B$3:$B$17,'Collapsed Data'!$B9,'Raw Data'!$C$3:$C$17,'Collapsed Data'!$C9)</f>
        <v>7</v>
      </c>
      <c r="CE9">
        <f>SUMIFS('Raw Data'!CE$3:CE$17,'Raw Data'!$B$3:$B$17,'Collapsed Data'!$B9,'Raw Data'!$C$3:$C$17,'Collapsed Data'!$C9)</f>
        <v>7</v>
      </c>
    </row>
    <row r="10" spans="1:84" x14ac:dyDescent="0.25">
      <c r="A10">
        <v>8</v>
      </c>
      <c r="B10" t="s">
        <v>34</v>
      </c>
      <c r="C10" t="s">
        <v>35</v>
      </c>
      <c r="D10" s="1" t="s">
        <v>8</v>
      </c>
      <c r="E10">
        <f>SUMIFS('Raw Data'!E$3:E$16,'Raw Data'!$B$3:$B$16,'Collapsed Data'!$B10,'Raw Data'!$C$3:$C$16,'Collapsed Data'!$C10)</f>
        <v>13</v>
      </c>
      <c r="F10">
        <f>SUMIFS('Raw Data'!F$3:F$16,'Raw Data'!$B$3:$B$16,'Collapsed Data'!$B10,'Raw Data'!$C$3:$C$16,'Collapsed Data'!$C10)</f>
        <v>40</v>
      </c>
      <c r="G10">
        <f>SUMIFS('Raw Data'!G$3:G$17,'Raw Data'!$B$3:$B$17,'Collapsed Data'!$B10,'Raw Data'!$C$3:$C$17,'Collapsed Data'!$C10)</f>
        <v>7</v>
      </c>
      <c r="H10">
        <f>SUMIFS('Raw Data'!H$3:H$17,'Raw Data'!$B$3:$B$17,'Collapsed Data'!$B10,'Raw Data'!$C$3:$C$17,'Collapsed Data'!$C10)</f>
        <v>1</v>
      </c>
      <c r="I10">
        <f>SUMIFS('Raw Data'!I$3:I$17,'Raw Data'!$B$3:$B$17,'Collapsed Data'!$B10,'Raw Data'!$C$3:$C$17,'Collapsed Data'!$C10)</f>
        <v>0</v>
      </c>
      <c r="J10">
        <f>SUMIFS('Raw Data'!J$3:J$17,'Raw Data'!$B$3:$B$17,'Collapsed Data'!$B10,'Raw Data'!$C$3:$C$17,'Collapsed Data'!$C10)</f>
        <v>0</v>
      </c>
      <c r="K10">
        <f>SUMIFS('Raw Data'!K$3:K$17,'Raw Data'!$B$3:$B$17,'Collapsed Data'!$B10,'Raw Data'!$C$3:$C$17,'Collapsed Data'!$C10)</f>
        <v>0</v>
      </c>
      <c r="L10">
        <f>SUMIFS('Raw Data'!L$3:L$17,'Raw Data'!$B$3:$B$17,'Collapsed Data'!$B10,'Raw Data'!$C$3:$C$17,'Collapsed Data'!$C10)</f>
        <v>1</v>
      </c>
      <c r="M10">
        <f>SUMIFS('Raw Data'!M$3:M$17,'Raw Data'!$B$3:$B$17,'Collapsed Data'!$B10,'Raw Data'!$C$3:$C$17,'Collapsed Data'!$C10)</f>
        <v>4</v>
      </c>
      <c r="N10">
        <f>SUMIFS('Raw Data'!N$3:N$17,'Raw Data'!$B$3:$B$17,'Collapsed Data'!$B10,'Raw Data'!$C$3:$C$17,'Collapsed Data'!$C10)</f>
        <v>7</v>
      </c>
      <c r="O10">
        <f>SUMIFS('Raw Data'!O$3:O$17,'Raw Data'!$B$3:$B$17,'Collapsed Data'!$B10,'Raw Data'!$C$3:$C$17,'Collapsed Data'!$C10)</f>
        <v>1</v>
      </c>
      <c r="P10">
        <f>SUMIFS('Raw Data'!P$3:P$17,'Raw Data'!$B$3:$B$17,'Collapsed Data'!$B10,'Raw Data'!$C$3:$C$17,'Collapsed Data'!$C10)</f>
        <v>1</v>
      </c>
      <c r="Q10">
        <f>SUMIFS('Raw Data'!Q$3:Q$17,'Raw Data'!$B$3:$B$17,'Collapsed Data'!$B10,'Raw Data'!$C$3:$C$17,'Collapsed Data'!$C10)</f>
        <v>0</v>
      </c>
      <c r="R10">
        <f>SUMIFS('Raw Data'!R$3:R$17,'Raw Data'!$B$3:$B$17,'Collapsed Data'!$B10,'Raw Data'!$C$3:$C$17,'Collapsed Data'!$C10)</f>
        <v>0</v>
      </c>
      <c r="S10">
        <f>SUMIFS('Raw Data'!S$3:S$17,'Raw Data'!$B$3:$B$17,'Collapsed Data'!$B10,'Raw Data'!$C$3:$C$17,'Collapsed Data'!$C10)</f>
        <v>1</v>
      </c>
      <c r="T10">
        <f>SUMIFS('Raw Data'!T$3:T$17,'Raw Data'!$B$3:$B$17,'Collapsed Data'!$B10,'Raw Data'!$C$3:$C$17,'Collapsed Data'!$C10)</f>
        <v>3</v>
      </c>
      <c r="U10">
        <f>SUMIFS('Raw Data'!U$3:U$17,'Raw Data'!$B$3:$B$17,'Collapsed Data'!$B10,'Raw Data'!$C$3:$C$17,'Collapsed Data'!$C10)</f>
        <v>0</v>
      </c>
      <c r="V10">
        <f>SUMIFS('Raw Data'!V$3:V$17,'Raw Data'!$B$3:$B$17,'Collapsed Data'!$B10,'Raw Data'!$C$3:$C$17,'Collapsed Data'!$C10)</f>
        <v>0</v>
      </c>
      <c r="W10">
        <f>SUMIFS('Raw Data'!W$3:W$17,'Raw Data'!$B$3:$B$17,'Collapsed Data'!$B10,'Raw Data'!$C$3:$C$17,'Collapsed Data'!$C10)</f>
        <v>0</v>
      </c>
      <c r="X10">
        <f>SUMIFS('Raw Data'!X$3:X$17,'Raw Data'!$B$3:$B$17,'Collapsed Data'!$B10,'Raw Data'!$C$3:$C$17,'Collapsed Data'!$C10)</f>
        <v>0</v>
      </c>
      <c r="Y10">
        <f>SUMIFS('Raw Data'!Y$3:Y$17,'Raw Data'!$B$3:$B$17,'Collapsed Data'!$B10,'Raw Data'!$C$3:$C$17,'Collapsed Data'!$C10)</f>
        <v>2</v>
      </c>
      <c r="Z10">
        <f>SUMIFS('Raw Data'!Z$3:Z$17,'Raw Data'!$B$3:$B$17,'Collapsed Data'!$B10,'Raw Data'!$C$3:$C$17,'Collapsed Data'!$C10)</f>
        <v>1</v>
      </c>
      <c r="AA10">
        <f>SUMIFS('Raw Data'!AA$3:AA$17,'Raw Data'!$B$3:$B$17,'Collapsed Data'!$B10,'Raw Data'!$C$3:$C$17,'Collapsed Data'!$C10)</f>
        <v>1</v>
      </c>
      <c r="AB10">
        <f>SUMIFS('Raw Data'!AB$3:AB$17,'Raw Data'!$B$3:$B$17,'Collapsed Data'!$B10,'Raw Data'!$C$3:$C$17,'Collapsed Data'!$C10)</f>
        <v>9</v>
      </c>
      <c r="AC10">
        <f>SUMIFS('Raw Data'!AC$3:AC$17,'Raw Data'!$B$3:$B$17,'Collapsed Data'!$B10,'Raw Data'!$C$3:$C$17,'Collapsed Data'!$C10)</f>
        <v>0</v>
      </c>
      <c r="AD10">
        <f>SUMIFS('Raw Data'!AD$3:AD$17,'Raw Data'!$B$3:$B$17,'Collapsed Data'!$B10,'Raw Data'!$C$3:$C$17,'Collapsed Data'!$C10)</f>
        <v>0</v>
      </c>
      <c r="AE10">
        <f>SUMIFS('Raw Data'!AE$3:AE$17,'Raw Data'!$B$3:$B$17,'Collapsed Data'!$B10,'Raw Data'!$C$3:$C$17,'Collapsed Data'!$C10)</f>
        <v>0</v>
      </c>
      <c r="AF10">
        <f>SUMIFS('Raw Data'!AF$3:AF$17,'Raw Data'!$B$3:$B$17,'Collapsed Data'!$B10,'Raw Data'!$C$3:$C$17,'Collapsed Data'!$C10)</f>
        <v>0</v>
      </c>
      <c r="AG10">
        <f>SUMIFS('Raw Data'!AG$3:AG$17,'Raw Data'!$B$3:$B$17,'Collapsed Data'!$B10,'Raw Data'!$C$3:$C$17,'Collapsed Data'!$C10)</f>
        <v>2</v>
      </c>
      <c r="AH10">
        <f>SUMIFS('Raw Data'!AH$3:AH$17,'Raw Data'!$B$3:$B$17,'Collapsed Data'!$B10,'Raw Data'!$C$3:$C$17,'Collapsed Data'!$C10)</f>
        <v>1</v>
      </c>
      <c r="AI10">
        <f>SUMIFS('Raw Data'!AI$3:AI$17,'Raw Data'!$B$3:$B$17,'Collapsed Data'!$B10,'Raw Data'!$C$3:$C$17,'Collapsed Data'!$C10)</f>
        <v>2</v>
      </c>
      <c r="AJ10">
        <f>SUMIFS('Raw Data'!AJ$3:AJ$17,'Raw Data'!$B$3:$B$17,'Collapsed Data'!$B10,'Raw Data'!$C$3:$C$17,'Collapsed Data'!$C10)</f>
        <v>8</v>
      </c>
      <c r="AK10">
        <f>SUMIFS('Raw Data'!AK$3:AK$17,'Raw Data'!$B$3:$B$17,'Collapsed Data'!$B10,'Raw Data'!$C$3:$C$17,'Collapsed Data'!$C10)</f>
        <v>1</v>
      </c>
      <c r="AL10">
        <f>SUMIFS('Raw Data'!AL$3:AL$17,'Raw Data'!$B$3:$B$17,'Collapsed Data'!$B10,'Raw Data'!$C$3:$C$17,'Collapsed Data'!$C10)</f>
        <v>0</v>
      </c>
      <c r="AM10">
        <f>SUMIFS('Raw Data'!AM$3:AM$17,'Raw Data'!$B$3:$B$17,'Collapsed Data'!$B10,'Raw Data'!$C$3:$C$17,'Collapsed Data'!$C10)</f>
        <v>0</v>
      </c>
      <c r="AN10">
        <f>SUMIFS('Raw Data'!AN$3:AN$17,'Raw Data'!$B$3:$B$17,'Collapsed Data'!$B10,'Raw Data'!$C$3:$C$17,'Collapsed Data'!$C10)</f>
        <v>0</v>
      </c>
      <c r="AO10">
        <f>SUMIFS('Raw Data'!AO$3:AO$17,'Raw Data'!$B$3:$B$17,'Collapsed Data'!$B10,'Raw Data'!$C$3:$C$17,'Collapsed Data'!$C10)</f>
        <v>3</v>
      </c>
      <c r="AP10">
        <f>SUMIFS('Raw Data'!AP$3:AP$17,'Raw Data'!$B$3:$B$17,'Collapsed Data'!$B10,'Raw Data'!$C$3:$C$17,'Collapsed Data'!$C10)</f>
        <v>0</v>
      </c>
      <c r="AQ10">
        <f>SUMIFS('Raw Data'!AQ$3:AQ$17,'Raw Data'!$B$3:$B$17,'Collapsed Data'!$B10,'Raw Data'!$C$3:$C$17,'Collapsed Data'!$C10)</f>
        <v>1</v>
      </c>
      <c r="AR10">
        <f>SUMIFS('Raw Data'!AR$3:AR$17,'Raw Data'!$B$3:$B$17,'Collapsed Data'!$B10,'Raw Data'!$C$3:$C$17,'Collapsed Data'!$C10)</f>
        <v>8</v>
      </c>
      <c r="AS10">
        <f>SUMIFS('Raw Data'!AS$3:AS$17,'Raw Data'!$B$3:$B$17,'Collapsed Data'!$B10,'Raw Data'!$C$3:$C$17,'Collapsed Data'!$C10)</f>
        <v>0</v>
      </c>
      <c r="AT10">
        <f>SUMIFS('Raw Data'!AT$3:AT$17,'Raw Data'!$B$3:$B$17,'Collapsed Data'!$B10,'Raw Data'!$C$3:$C$17,'Collapsed Data'!$C10)</f>
        <v>0</v>
      </c>
      <c r="AU10">
        <f>SUMIFS('Raw Data'!AU$3:AU$17,'Raw Data'!$B$3:$B$17,'Collapsed Data'!$B10,'Raw Data'!$C$3:$C$17,'Collapsed Data'!$C10)</f>
        <v>0</v>
      </c>
      <c r="AV10">
        <f>SUMIFS('Raw Data'!AV$3:AV$17,'Raw Data'!$B$3:$B$17,'Collapsed Data'!$B10,'Raw Data'!$C$3:$C$17,'Collapsed Data'!$C10)</f>
        <v>0</v>
      </c>
      <c r="AW10">
        <f>SUMIFS('Raw Data'!AW$3:AW$17,'Raw Data'!$B$3:$B$17,'Collapsed Data'!$B10,'Raw Data'!$C$3:$C$17,'Collapsed Data'!$C10)</f>
        <v>3</v>
      </c>
      <c r="AX10">
        <f>SUMIFS('Raw Data'!AX$3:AX$17,'Raw Data'!$B$3:$B$17,'Collapsed Data'!$B10,'Raw Data'!$C$3:$C$17,'Collapsed Data'!$C10)</f>
        <v>0</v>
      </c>
      <c r="AY10">
        <f>SUMIFS('Raw Data'!AY$3:AY$17,'Raw Data'!$B$3:$B$17,'Collapsed Data'!$B10,'Raw Data'!$C$3:$C$17,'Collapsed Data'!$C10)</f>
        <v>0</v>
      </c>
      <c r="AZ10">
        <f>SUMIFS('Raw Data'!AZ$3:AZ$17,'Raw Data'!$B$3:$B$17,'Collapsed Data'!$B10,'Raw Data'!$C$3:$C$17,'Collapsed Data'!$C10)</f>
        <v>10</v>
      </c>
      <c r="BA10">
        <f>SUMIFS('Raw Data'!BA$3:BA$17,'Raw Data'!$B$3:$B$17,'Collapsed Data'!$B10,'Raw Data'!$C$3:$C$17,'Collapsed Data'!$C10)</f>
        <v>1</v>
      </c>
      <c r="BB10">
        <f>SUMIFS('Raw Data'!BB$3:BB$17,'Raw Data'!$B$3:$B$17,'Collapsed Data'!$B10,'Raw Data'!$C$3:$C$17,'Collapsed Data'!$C10)</f>
        <v>0</v>
      </c>
      <c r="BC10">
        <f>SUMIFS('Raw Data'!BC$3:BC$17,'Raw Data'!$B$3:$B$17,'Collapsed Data'!$B10,'Raw Data'!$C$3:$C$17,'Collapsed Data'!$C10)</f>
        <v>0</v>
      </c>
      <c r="BD10">
        <f>SUMIFS('Raw Data'!BD$3:BD$17,'Raw Data'!$B$3:$B$17,'Collapsed Data'!$B10,'Raw Data'!$C$3:$C$17,'Collapsed Data'!$C10)</f>
        <v>0</v>
      </c>
      <c r="BE10">
        <f>SUMIFS('Raw Data'!BE$3:BE$17,'Raw Data'!$B$3:$B$17,'Collapsed Data'!$B10,'Raw Data'!$C$3:$C$17,'Collapsed Data'!$C10)</f>
        <v>3</v>
      </c>
      <c r="BF10">
        <f>SUMIFS('Raw Data'!BF$3:BF$17,'Raw Data'!$B$3:$B$17,'Collapsed Data'!$B10,'Raw Data'!$C$3:$C$17,'Collapsed Data'!$C10)</f>
        <v>0</v>
      </c>
      <c r="BG10">
        <f>SUMIFS('Raw Data'!BG$3:BG$17,'Raw Data'!$B$3:$B$17,'Collapsed Data'!$B10,'Raw Data'!$C$3:$C$17,'Collapsed Data'!$C10)</f>
        <v>0</v>
      </c>
      <c r="BH10">
        <f>SUMIFS('Raw Data'!BH$3:BH$17,'Raw Data'!$B$3:$B$17,'Collapsed Data'!$B10,'Raw Data'!$C$3:$C$17,'Collapsed Data'!$C10)</f>
        <v>9</v>
      </c>
      <c r="BI10">
        <f>SUMIFS('Raw Data'!BI$3:BI$17,'Raw Data'!$B$3:$B$17,'Collapsed Data'!$B10,'Raw Data'!$C$3:$C$17,'Collapsed Data'!$C10)</f>
        <v>1</v>
      </c>
      <c r="BJ10">
        <f>SUMIFS('Raw Data'!BJ$3:BJ$17,'Raw Data'!$B$3:$B$17,'Collapsed Data'!$B10,'Raw Data'!$C$3:$C$17,'Collapsed Data'!$C10)</f>
        <v>0</v>
      </c>
      <c r="BK10">
        <f>SUMIFS('Raw Data'!BK$3:BK$17,'Raw Data'!$B$3:$B$17,'Collapsed Data'!$B10,'Raw Data'!$C$3:$C$17,'Collapsed Data'!$C10)</f>
        <v>1</v>
      </c>
      <c r="BL10">
        <f>SUMIFS('Raw Data'!BL$3:BL$17,'Raw Data'!$B$3:$B$17,'Collapsed Data'!$B10,'Raw Data'!$C$3:$C$17,'Collapsed Data'!$C10)</f>
        <v>0</v>
      </c>
      <c r="BM10">
        <f>SUMIFS('Raw Data'!BM$3:BM$17,'Raw Data'!$B$3:$B$17,'Collapsed Data'!$B10,'Raw Data'!$C$3:$C$17,'Collapsed Data'!$C10)</f>
        <v>2</v>
      </c>
      <c r="BN10">
        <f>SUMIFS('Raw Data'!BN$3:BN$17,'Raw Data'!$B$3:$B$17,'Collapsed Data'!$B10,'Raw Data'!$C$3:$C$17,'Collapsed Data'!$C10)</f>
        <v>0</v>
      </c>
      <c r="BO10">
        <f>SUMIFS('Raw Data'!BO$3:BO$17,'Raw Data'!$B$3:$B$17,'Collapsed Data'!$B10,'Raw Data'!$C$3:$C$17,'Collapsed Data'!$C10)</f>
        <v>0</v>
      </c>
      <c r="BP10">
        <f>SUMIFS('Raw Data'!BP$3:BP$17,'Raw Data'!$B$3:$B$17,'Collapsed Data'!$B10,'Raw Data'!$C$3:$C$17,'Collapsed Data'!$C10)</f>
        <v>9</v>
      </c>
      <c r="BQ10">
        <f>SUMIFS('Raw Data'!BQ$3:BQ$17,'Raw Data'!$B$3:$B$17,'Collapsed Data'!$B10,'Raw Data'!$C$3:$C$17,'Collapsed Data'!$C10)</f>
        <v>0</v>
      </c>
      <c r="BR10">
        <f>SUMIFS('Raw Data'!BR$3:BR$17,'Raw Data'!$B$3:$B$17,'Collapsed Data'!$B10,'Raw Data'!$C$3:$C$17,'Collapsed Data'!$C10)</f>
        <v>0</v>
      </c>
      <c r="BS10">
        <f>SUMIFS('Raw Data'!BS$3:BS$17,'Raw Data'!$B$3:$B$17,'Collapsed Data'!$B10,'Raw Data'!$C$3:$C$17,'Collapsed Data'!$C10)</f>
        <v>0</v>
      </c>
      <c r="BT10">
        <f>SUMIFS('Raw Data'!BT$3:BT$17,'Raw Data'!$B$3:$B$17,'Collapsed Data'!$B10,'Raw Data'!$C$3:$C$17,'Collapsed Data'!$C10)</f>
        <v>0</v>
      </c>
      <c r="BU10">
        <f>SUMIFS('Raw Data'!BU$3:BU$17,'Raw Data'!$B$3:$B$17,'Collapsed Data'!$B10,'Raw Data'!$C$3:$C$17,'Collapsed Data'!$C10)</f>
        <v>2</v>
      </c>
      <c r="BV10">
        <f>SUMIFS('Raw Data'!BV$3:BV$17,'Raw Data'!$B$3:$B$17,'Collapsed Data'!$B10,'Raw Data'!$C$3:$C$17,'Collapsed Data'!$C10)</f>
        <v>1</v>
      </c>
      <c r="BW10">
        <f>SUMIFS('Raw Data'!BW$3:BW$17,'Raw Data'!$B$3:$B$17,'Collapsed Data'!$B10,'Raw Data'!$C$3:$C$17,'Collapsed Data'!$C10)</f>
        <v>0</v>
      </c>
      <c r="BX10">
        <f>SUMIFS('Raw Data'!BX$3:BX$17,'Raw Data'!$B$3:$B$17,'Collapsed Data'!$B10,'Raw Data'!$C$3:$C$17,'Collapsed Data'!$C10)</f>
        <v>10</v>
      </c>
      <c r="BY10">
        <f>SUMIFS('Raw Data'!BY$3:BY$17,'Raw Data'!$B$3:$B$17,'Collapsed Data'!$B10,'Raw Data'!$C$3:$C$17,'Collapsed Data'!$C10)</f>
        <v>0</v>
      </c>
      <c r="BZ10">
        <f>SUMIFS('Raw Data'!BZ$3:BZ$17,'Raw Data'!$B$3:$B$17,'Collapsed Data'!$B10,'Raw Data'!$C$3:$C$17,'Collapsed Data'!$C10)</f>
        <v>0</v>
      </c>
      <c r="CA10">
        <f>SUMIFS('Raw Data'!CA$3:CA$17,'Raw Data'!$B$3:$B$17,'Collapsed Data'!$B10,'Raw Data'!$C$3:$C$17,'Collapsed Data'!$C10)</f>
        <v>2</v>
      </c>
      <c r="CB10">
        <f>SUMIFS('Raw Data'!CB$3:CB$17,'Raw Data'!$B$3:$B$17,'Collapsed Data'!$B10,'Raw Data'!$C$3:$C$17,'Collapsed Data'!$C10)</f>
        <v>2</v>
      </c>
      <c r="CC10">
        <f>SUMIFS('Raw Data'!CC$3:CC$17,'Raw Data'!$B$3:$B$17,'Collapsed Data'!$B10,'Raw Data'!$C$3:$C$17,'Collapsed Data'!$C10)</f>
        <v>1</v>
      </c>
      <c r="CD10">
        <f>SUMIFS('Raw Data'!CD$3:CD$17,'Raw Data'!$B$3:$B$17,'Collapsed Data'!$B10,'Raw Data'!$C$3:$C$17,'Collapsed Data'!$C10)</f>
        <v>2</v>
      </c>
      <c r="CE10">
        <f>SUMIFS('Raw Data'!CE$3:CE$17,'Raw Data'!$B$3:$B$17,'Collapsed Data'!$B10,'Raw Data'!$C$3:$C$17,'Collapsed Data'!$C10)</f>
        <v>6</v>
      </c>
    </row>
    <row r="11" spans="1:84" x14ac:dyDescent="0.25">
      <c r="A11">
        <v>9</v>
      </c>
      <c r="B11" t="s">
        <v>32</v>
      </c>
      <c r="C11" t="s">
        <v>33</v>
      </c>
      <c r="D11" s="1" t="s">
        <v>8</v>
      </c>
      <c r="E11">
        <f>SUMIFS('Raw Data'!E$3:E$16,'Raw Data'!$B$3:$B$16,'Collapsed Data'!$B11,'Raw Data'!$C$3:$C$16,'Collapsed Data'!$C11)</f>
        <v>79</v>
      </c>
      <c r="F11">
        <f>SUMIFS('Raw Data'!F$3:F$16,'Raw Data'!$B$3:$B$16,'Collapsed Data'!$B11,'Raw Data'!$C$3:$C$16,'Collapsed Data'!$C11)</f>
        <v>120</v>
      </c>
      <c r="G11">
        <f>SUMIFS('Raw Data'!G$3:G$17,'Raw Data'!$B$3:$B$17,'Collapsed Data'!$B11,'Raw Data'!$C$3:$C$17,'Collapsed Data'!$C11)</f>
        <v>2</v>
      </c>
      <c r="H11">
        <f>SUMIFS('Raw Data'!H$3:H$17,'Raw Data'!$B$3:$B$17,'Collapsed Data'!$B11,'Raw Data'!$C$3:$C$17,'Collapsed Data'!$C11)</f>
        <v>4</v>
      </c>
      <c r="I11">
        <f>SUMIFS('Raw Data'!I$3:I$17,'Raw Data'!$B$3:$B$17,'Collapsed Data'!$B11,'Raw Data'!$C$3:$C$17,'Collapsed Data'!$C11)</f>
        <v>19</v>
      </c>
      <c r="J11">
        <f>SUMIFS('Raw Data'!J$3:J$17,'Raw Data'!$B$3:$B$17,'Collapsed Data'!$B11,'Raw Data'!$C$3:$C$17,'Collapsed Data'!$C11)</f>
        <v>16</v>
      </c>
      <c r="K11">
        <f>SUMIFS('Raw Data'!K$3:K$17,'Raw Data'!$B$3:$B$17,'Collapsed Data'!$B11,'Raw Data'!$C$3:$C$17,'Collapsed Data'!$C11)</f>
        <v>12</v>
      </c>
      <c r="L11">
        <f>SUMIFS('Raw Data'!L$3:L$17,'Raw Data'!$B$3:$B$17,'Collapsed Data'!$B11,'Raw Data'!$C$3:$C$17,'Collapsed Data'!$C11)</f>
        <v>3</v>
      </c>
      <c r="M11">
        <f>SUMIFS('Raw Data'!M$3:M$17,'Raw Data'!$B$3:$B$17,'Collapsed Data'!$B11,'Raw Data'!$C$3:$C$17,'Collapsed Data'!$C11)</f>
        <v>23</v>
      </c>
      <c r="N11">
        <f>SUMIFS('Raw Data'!N$3:N$17,'Raw Data'!$B$3:$B$17,'Collapsed Data'!$B11,'Raw Data'!$C$3:$C$17,'Collapsed Data'!$C11)</f>
        <v>46</v>
      </c>
      <c r="O11">
        <f>SUMIFS('Raw Data'!O$3:O$17,'Raw Data'!$B$3:$B$17,'Collapsed Data'!$B11,'Raw Data'!$C$3:$C$17,'Collapsed Data'!$C11)</f>
        <v>7</v>
      </c>
      <c r="P11">
        <f>SUMIFS('Raw Data'!P$3:P$17,'Raw Data'!$B$3:$B$17,'Collapsed Data'!$B11,'Raw Data'!$C$3:$C$17,'Collapsed Data'!$C11)</f>
        <v>9</v>
      </c>
      <c r="Q11">
        <f>SUMIFS('Raw Data'!Q$3:Q$17,'Raw Data'!$B$3:$B$17,'Collapsed Data'!$B11,'Raw Data'!$C$3:$C$17,'Collapsed Data'!$C11)</f>
        <v>8</v>
      </c>
      <c r="R11">
        <f>SUMIFS('Raw Data'!R$3:R$17,'Raw Data'!$B$3:$B$17,'Collapsed Data'!$B11,'Raw Data'!$C$3:$C$17,'Collapsed Data'!$C11)</f>
        <v>5</v>
      </c>
      <c r="S11">
        <f>SUMIFS('Raw Data'!S$3:S$17,'Raw Data'!$B$3:$B$17,'Collapsed Data'!$B11,'Raw Data'!$C$3:$C$17,'Collapsed Data'!$C11)</f>
        <v>0</v>
      </c>
      <c r="T11">
        <f>SUMIFS('Raw Data'!T$3:T$17,'Raw Data'!$B$3:$B$17,'Collapsed Data'!$B11,'Raw Data'!$C$3:$C$17,'Collapsed Data'!$C11)</f>
        <v>3</v>
      </c>
      <c r="U11">
        <f>SUMIFS('Raw Data'!U$3:U$17,'Raw Data'!$B$3:$B$17,'Collapsed Data'!$B11,'Raw Data'!$C$3:$C$17,'Collapsed Data'!$C11)</f>
        <v>1</v>
      </c>
      <c r="V11">
        <f>SUMIFS('Raw Data'!V$3:V$17,'Raw Data'!$B$3:$B$17,'Collapsed Data'!$B11,'Raw Data'!$C$3:$C$17,'Collapsed Data'!$C11)</f>
        <v>3</v>
      </c>
      <c r="W11">
        <f>SUMIFS('Raw Data'!W$3:W$17,'Raw Data'!$B$3:$B$17,'Collapsed Data'!$B11,'Raw Data'!$C$3:$C$17,'Collapsed Data'!$C11)</f>
        <v>3</v>
      </c>
      <c r="X11">
        <f>SUMIFS('Raw Data'!X$3:X$17,'Raw Data'!$B$3:$B$17,'Collapsed Data'!$B11,'Raw Data'!$C$3:$C$17,'Collapsed Data'!$C11)</f>
        <v>7</v>
      </c>
      <c r="Y11">
        <f>SUMIFS('Raw Data'!Y$3:Y$17,'Raw Data'!$B$3:$B$17,'Collapsed Data'!$B11,'Raw Data'!$C$3:$C$17,'Collapsed Data'!$C11)</f>
        <v>27</v>
      </c>
      <c r="Z11">
        <f>SUMIFS('Raw Data'!Z$3:Z$17,'Raw Data'!$B$3:$B$17,'Collapsed Data'!$B11,'Raw Data'!$C$3:$C$17,'Collapsed Data'!$C11)</f>
        <v>10</v>
      </c>
      <c r="AA11">
        <f>SUMIFS('Raw Data'!AA$3:AA$17,'Raw Data'!$B$3:$B$17,'Collapsed Data'!$B11,'Raw Data'!$C$3:$C$17,'Collapsed Data'!$C11)</f>
        <v>7</v>
      </c>
      <c r="AB11">
        <f>SUMIFS('Raw Data'!AB$3:AB$17,'Raw Data'!$B$3:$B$17,'Collapsed Data'!$B11,'Raw Data'!$C$3:$C$17,'Collapsed Data'!$C11)</f>
        <v>19</v>
      </c>
      <c r="AC11">
        <f>SUMIFS('Raw Data'!AC$3:AC$17,'Raw Data'!$B$3:$B$17,'Collapsed Data'!$B11,'Raw Data'!$C$3:$C$17,'Collapsed Data'!$C11)</f>
        <v>3</v>
      </c>
      <c r="AD11">
        <f>SUMIFS('Raw Data'!AD$3:AD$17,'Raw Data'!$B$3:$B$17,'Collapsed Data'!$B11,'Raw Data'!$C$3:$C$17,'Collapsed Data'!$C11)</f>
        <v>2</v>
      </c>
      <c r="AE11">
        <f>SUMIFS('Raw Data'!AE$3:AE$17,'Raw Data'!$B$3:$B$17,'Collapsed Data'!$B11,'Raw Data'!$C$3:$C$17,'Collapsed Data'!$C11)</f>
        <v>2</v>
      </c>
      <c r="AF11">
        <f>SUMIFS('Raw Data'!AF$3:AF$17,'Raw Data'!$B$3:$B$17,'Collapsed Data'!$B11,'Raw Data'!$C$3:$C$17,'Collapsed Data'!$C11)</f>
        <v>5</v>
      </c>
      <c r="AG11">
        <f>SUMIFS('Raw Data'!AG$3:AG$17,'Raw Data'!$B$3:$B$17,'Collapsed Data'!$B11,'Raw Data'!$C$3:$C$17,'Collapsed Data'!$C11)</f>
        <v>23</v>
      </c>
      <c r="AH11">
        <f>SUMIFS('Raw Data'!AH$3:AH$17,'Raw Data'!$B$3:$B$17,'Collapsed Data'!$B11,'Raw Data'!$C$3:$C$17,'Collapsed Data'!$C11)</f>
        <v>12</v>
      </c>
      <c r="AI11">
        <f>SUMIFS('Raw Data'!AI$3:AI$17,'Raw Data'!$B$3:$B$17,'Collapsed Data'!$B11,'Raw Data'!$C$3:$C$17,'Collapsed Data'!$C11)</f>
        <v>11</v>
      </c>
      <c r="AJ11">
        <f>SUMIFS('Raw Data'!AJ$3:AJ$17,'Raw Data'!$B$3:$B$17,'Collapsed Data'!$B11,'Raw Data'!$C$3:$C$17,'Collapsed Data'!$C11)</f>
        <v>18</v>
      </c>
      <c r="AK11">
        <f>SUMIFS('Raw Data'!AK$3:AK$17,'Raw Data'!$B$3:$B$17,'Collapsed Data'!$B11,'Raw Data'!$C$3:$C$17,'Collapsed Data'!$C11)</f>
        <v>2</v>
      </c>
      <c r="AL11">
        <f>SUMIFS('Raw Data'!AL$3:AL$17,'Raw Data'!$B$3:$B$17,'Collapsed Data'!$B11,'Raw Data'!$C$3:$C$17,'Collapsed Data'!$C11)</f>
        <v>1</v>
      </c>
      <c r="AM11">
        <f>SUMIFS('Raw Data'!AM$3:AM$17,'Raw Data'!$B$3:$B$17,'Collapsed Data'!$B11,'Raw Data'!$C$3:$C$17,'Collapsed Data'!$C11)</f>
        <v>2</v>
      </c>
      <c r="AN11">
        <f>SUMIFS('Raw Data'!AN$3:AN$17,'Raw Data'!$B$3:$B$17,'Collapsed Data'!$B11,'Raw Data'!$C$3:$C$17,'Collapsed Data'!$C11)</f>
        <v>1</v>
      </c>
      <c r="AO11">
        <f>SUMIFS('Raw Data'!AO$3:AO$17,'Raw Data'!$B$3:$B$17,'Collapsed Data'!$B11,'Raw Data'!$C$3:$C$17,'Collapsed Data'!$C11)</f>
        <v>18</v>
      </c>
      <c r="AP11">
        <f>SUMIFS('Raw Data'!AP$3:AP$17,'Raw Data'!$B$3:$B$17,'Collapsed Data'!$B11,'Raw Data'!$C$3:$C$17,'Collapsed Data'!$C11)</f>
        <v>18</v>
      </c>
      <c r="AQ11">
        <f>SUMIFS('Raw Data'!AQ$3:AQ$17,'Raw Data'!$B$3:$B$17,'Collapsed Data'!$B11,'Raw Data'!$C$3:$C$17,'Collapsed Data'!$C11)</f>
        <v>12</v>
      </c>
      <c r="AR11">
        <f>SUMIFS('Raw Data'!AR$3:AR$17,'Raw Data'!$B$3:$B$17,'Collapsed Data'!$B11,'Raw Data'!$C$3:$C$17,'Collapsed Data'!$C11)</f>
        <v>23</v>
      </c>
      <c r="AS11">
        <f>SUMIFS('Raw Data'!AS$3:AS$17,'Raw Data'!$B$3:$B$17,'Collapsed Data'!$B11,'Raw Data'!$C$3:$C$17,'Collapsed Data'!$C11)</f>
        <v>2</v>
      </c>
      <c r="AT11">
        <f>SUMIFS('Raw Data'!AT$3:AT$17,'Raw Data'!$B$3:$B$17,'Collapsed Data'!$B11,'Raw Data'!$C$3:$C$17,'Collapsed Data'!$C11)</f>
        <v>1</v>
      </c>
      <c r="AU11">
        <f>SUMIFS('Raw Data'!AU$3:AU$17,'Raw Data'!$B$3:$B$17,'Collapsed Data'!$B11,'Raw Data'!$C$3:$C$17,'Collapsed Data'!$C11)</f>
        <v>2</v>
      </c>
      <c r="AV11">
        <f>SUMIFS('Raw Data'!AV$3:AV$17,'Raw Data'!$B$3:$B$17,'Collapsed Data'!$B11,'Raw Data'!$C$3:$C$17,'Collapsed Data'!$C11)</f>
        <v>5</v>
      </c>
      <c r="AW11">
        <f>SUMIFS('Raw Data'!AW$3:AW$17,'Raw Data'!$B$3:$B$17,'Collapsed Data'!$B11,'Raw Data'!$C$3:$C$17,'Collapsed Data'!$C11)</f>
        <v>20</v>
      </c>
      <c r="AX11">
        <f>SUMIFS('Raw Data'!AX$3:AX$17,'Raw Data'!$B$3:$B$17,'Collapsed Data'!$B11,'Raw Data'!$C$3:$C$17,'Collapsed Data'!$C11)</f>
        <v>14</v>
      </c>
      <c r="AY11">
        <f>SUMIFS('Raw Data'!AY$3:AY$17,'Raw Data'!$B$3:$B$17,'Collapsed Data'!$B11,'Raw Data'!$C$3:$C$17,'Collapsed Data'!$C11)</f>
        <v>11</v>
      </c>
      <c r="AZ11">
        <f>SUMIFS('Raw Data'!AZ$3:AZ$17,'Raw Data'!$B$3:$B$17,'Collapsed Data'!$B11,'Raw Data'!$C$3:$C$17,'Collapsed Data'!$C11)</f>
        <v>22</v>
      </c>
      <c r="BA11">
        <f>SUMIFS('Raw Data'!BA$3:BA$17,'Raw Data'!$B$3:$B$17,'Collapsed Data'!$B11,'Raw Data'!$C$3:$C$17,'Collapsed Data'!$C11)</f>
        <v>3</v>
      </c>
      <c r="BB11">
        <f>SUMIFS('Raw Data'!BB$3:BB$17,'Raw Data'!$B$3:$B$17,'Collapsed Data'!$B11,'Raw Data'!$C$3:$C$17,'Collapsed Data'!$C11)</f>
        <v>1</v>
      </c>
      <c r="BC11">
        <f>SUMIFS('Raw Data'!BC$3:BC$17,'Raw Data'!$B$3:$B$17,'Collapsed Data'!$B11,'Raw Data'!$C$3:$C$17,'Collapsed Data'!$C11)</f>
        <v>0</v>
      </c>
      <c r="BD11">
        <f>SUMIFS('Raw Data'!BD$3:BD$17,'Raw Data'!$B$3:$B$17,'Collapsed Data'!$B11,'Raw Data'!$C$3:$C$17,'Collapsed Data'!$C11)</f>
        <v>2</v>
      </c>
      <c r="BE11">
        <f>SUMIFS('Raw Data'!BE$3:BE$17,'Raw Data'!$B$3:$B$17,'Collapsed Data'!$B11,'Raw Data'!$C$3:$C$17,'Collapsed Data'!$C11)</f>
        <v>18</v>
      </c>
      <c r="BF11">
        <f>SUMIFS('Raw Data'!BF$3:BF$17,'Raw Data'!$B$3:$B$17,'Collapsed Data'!$B11,'Raw Data'!$C$3:$C$17,'Collapsed Data'!$C11)</f>
        <v>9</v>
      </c>
      <c r="BG11">
        <f>SUMIFS('Raw Data'!BG$3:BG$17,'Raw Data'!$B$3:$B$17,'Collapsed Data'!$B11,'Raw Data'!$C$3:$C$17,'Collapsed Data'!$C11)</f>
        <v>14</v>
      </c>
      <c r="BH11">
        <f>SUMIFS('Raw Data'!BH$3:BH$17,'Raw Data'!$B$3:$B$17,'Collapsed Data'!$B11,'Raw Data'!$C$3:$C$17,'Collapsed Data'!$C11)</f>
        <v>30</v>
      </c>
      <c r="BI11">
        <f>SUMIFS('Raw Data'!BI$3:BI$17,'Raw Data'!$B$3:$B$17,'Collapsed Data'!$B11,'Raw Data'!$C$3:$C$17,'Collapsed Data'!$C11)</f>
        <v>1</v>
      </c>
      <c r="BJ11">
        <f>SUMIFS('Raw Data'!BJ$3:BJ$17,'Raw Data'!$B$3:$B$17,'Collapsed Data'!$B11,'Raw Data'!$C$3:$C$17,'Collapsed Data'!$C11)</f>
        <v>3</v>
      </c>
      <c r="BK11">
        <f>SUMIFS('Raw Data'!BK$3:BK$17,'Raw Data'!$B$3:$B$17,'Collapsed Data'!$B11,'Raw Data'!$C$3:$C$17,'Collapsed Data'!$C11)</f>
        <v>4</v>
      </c>
      <c r="BL11">
        <f>SUMIFS('Raw Data'!BL$3:BL$17,'Raw Data'!$B$3:$B$17,'Collapsed Data'!$B11,'Raw Data'!$C$3:$C$17,'Collapsed Data'!$C11)</f>
        <v>7</v>
      </c>
      <c r="BM11">
        <f>SUMIFS('Raw Data'!BM$3:BM$17,'Raw Data'!$B$3:$B$17,'Collapsed Data'!$B11,'Raw Data'!$C$3:$C$17,'Collapsed Data'!$C11)</f>
        <v>26</v>
      </c>
      <c r="BN11">
        <f>SUMIFS('Raw Data'!BN$3:BN$17,'Raw Data'!$B$3:$B$17,'Collapsed Data'!$B11,'Raw Data'!$C$3:$C$17,'Collapsed Data'!$C11)</f>
        <v>9</v>
      </c>
      <c r="BO11">
        <f>SUMIFS('Raw Data'!BO$3:BO$17,'Raw Data'!$B$3:$B$17,'Collapsed Data'!$B11,'Raw Data'!$C$3:$C$17,'Collapsed Data'!$C11)</f>
        <v>10</v>
      </c>
      <c r="BP11">
        <f>SUMIFS('Raw Data'!BP$3:BP$17,'Raw Data'!$B$3:$B$17,'Collapsed Data'!$B11,'Raw Data'!$C$3:$C$17,'Collapsed Data'!$C11)</f>
        <v>17</v>
      </c>
      <c r="BQ11">
        <f>SUMIFS('Raw Data'!BQ$3:BQ$17,'Raw Data'!$B$3:$B$17,'Collapsed Data'!$B11,'Raw Data'!$C$3:$C$17,'Collapsed Data'!$C11)</f>
        <v>4</v>
      </c>
      <c r="BR11">
        <f>SUMIFS('Raw Data'!BR$3:BR$17,'Raw Data'!$B$3:$B$17,'Collapsed Data'!$B11,'Raw Data'!$C$3:$C$17,'Collapsed Data'!$C11)</f>
        <v>2</v>
      </c>
      <c r="BS11">
        <f>SUMIFS('Raw Data'!BS$3:BS$17,'Raw Data'!$B$3:$B$17,'Collapsed Data'!$B11,'Raw Data'!$C$3:$C$17,'Collapsed Data'!$C11)</f>
        <v>4</v>
      </c>
      <c r="BT11">
        <f>SUMIFS('Raw Data'!BT$3:BT$17,'Raw Data'!$B$3:$B$17,'Collapsed Data'!$B11,'Raw Data'!$C$3:$C$17,'Collapsed Data'!$C11)</f>
        <v>3</v>
      </c>
      <c r="BU11">
        <f>SUMIFS('Raw Data'!BU$3:BU$17,'Raw Data'!$B$3:$B$17,'Collapsed Data'!$B11,'Raw Data'!$C$3:$C$17,'Collapsed Data'!$C11)</f>
        <v>22</v>
      </c>
      <c r="BV11">
        <f>SUMIFS('Raw Data'!BV$3:BV$17,'Raw Data'!$B$3:$B$17,'Collapsed Data'!$B11,'Raw Data'!$C$3:$C$17,'Collapsed Data'!$C11)</f>
        <v>9</v>
      </c>
      <c r="BW11">
        <f>SUMIFS('Raw Data'!BW$3:BW$17,'Raw Data'!$B$3:$B$17,'Collapsed Data'!$B11,'Raw Data'!$C$3:$C$17,'Collapsed Data'!$C11)</f>
        <v>10</v>
      </c>
      <c r="BX11">
        <f>SUMIFS('Raw Data'!BX$3:BX$17,'Raw Data'!$B$3:$B$17,'Collapsed Data'!$B11,'Raw Data'!$C$3:$C$17,'Collapsed Data'!$C11)</f>
        <v>22</v>
      </c>
      <c r="BY11">
        <f>SUMIFS('Raw Data'!BY$3:BY$17,'Raw Data'!$B$3:$B$17,'Collapsed Data'!$B11,'Raw Data'!$C$3:$C$17,'Collapsed Data'!$C11)</f>
        <v>1</v>
      </c>
      <c r="BZ11">
        <f>SUMIFS('Raw Data'!BZ$3:BZ$17,'Raw Data'!$B$3:$B$17,'Collapsed Data'!$B11,'Raw Data'!$C$3:$C$17,'Collapsed Data'!$C11)</f>
        <v>1</v>
      </c>
      <c r="CA11">
        <f>SUMIFS('Raw Data'!CA$3:CA$17,'Raw Data'!$B$3:$B$17,'Collapsed Data'!$B11,'Raw Data'!$C$3:$C$17,'Collapsed Data'!$C11)</f>
        <v>6</v>
      </c>
      <c r="CB11">
        <f>SUMIFS('Raw Data'!CB$3:CB$17,'Raw Data'!$B$3:$B$17,'Collapsed Data'!$B11,'Raw Data'!$C$3:$C$17,'Collapsed Data'!$C11)</f>
        <v>24</v>
      </c>
      <c r="CC11">
        <f>SUMIFS('Raw Data'!CC$3:CC$17,'Raw Data'!$B$3:$B$17,'Collapsed Data'!$B11,'Raw Data'!$C$3:$C$17,'Collapsed Data'!$C11)</f>
        <v>15</v>
      </c>
      <c r="CD11">
        <f>SUMIFS('Raw Data'!CD$3:CD$17,'Raw Data'!$B$3:$B$17,'Collapsed Data'!$B11,'Raw Data'!$C$3:$C$17,'Collapsed Data'!$C11)</f>
        <v>15</v>
      </c>
      <c r="CE11">
        <f>SUMIFS('Raw Data'!CE$3:CE$17,'Raw Data'!$B$3:$B$17,'Collapsed Data'!$B11,'Raw Data'!$C$3:$C$17,'Collapsed Data'!$C11)</f>
        <v>13</v>
      </c>
    </row>
    <row r="12" spans="1:84" x14ac:dyDescent="0.25">
      <c r="A12">
        <v>10</v>
      </c>
      <c r="B12" t="s">
        <v>6</v>
      </c>
      <c r="C12" t="s">
        <v>7</v>
      </c>
      <c r="D12" s="1" t="s">
        <v>8</v>
      </c>
      <c r="E12">
        <f>SUMIFS('Raw Data'!E$3:E$16,'Raw Data'!$B$3:$B$16,'Collapsed Data'!$B12,'Raw Data'!$C$3:$C$16,'Collapsed Data'!$C12)</f>
        <v>42</v>
      </c>
      <c r="F12">
        <f>SUMIFS('Raw Data'!F$3:F$16,'Raw Data'!$B$3:$B$16,'Collapsed Data'!$B12,'Raw Data'!$C$3:$C$16,'Collapsed Data'!$C12)</f>
        <v>68</v>
      </c>
      <c r="G12">
        <f>SUMIFS('Raw Data'!G$3:G$17,'Raw Data'!$B$3:$B$17,'Collapsed Data'!$B12,'Raw Data'!$C$3:$C$17,'Collapsed Data'!$C12)</f>
        <v>4</v>
      </c>
      <c r="H12">
        <f>SUMIFS('Raw Data'!H$3:H$17,'Raw Data'!$B$3:$B$17,'Collapsed Data'!$B12,'Raw Data'!$C$3:$C$17,'Collapsed Data'!$C12)</f>
        <v>1</v>
      </c>
      <c r="I12">
        <f>SUMIFS('Raw Data'!I$3:I$17,'Raw Data'!$B$3:$B$17,'Collapsed Data'!$B12,'Raw Data'!$C$3:$C$17,'Collapsed Data'!$C12)</f>
        <v>1</v>
      </c>
      <c r="J12">
        <f>SUMIFS('Raw Data'!J$3:J$17,'Raw Data'!$B$3:$B$17,'Collapsed Data'!$B12,'Raw Data'!$C$3:$C$17,'Collapsed Data'!$C12)</f>
        <v>9</v>
      </c>
      <c r="K12">
        <f>SUMIFS('Raw Data'!K$3:K$17,'Raw Data'!$B$3:$B$17,'Collapsed Data'!$B12,'Raw Data'!$C$3:$C$17,'Collapsed Data'!$C12)</f>
        <v>2</v>
      </c>
      <c r="L12">
        <f>SUMIFS('Raw Data'!L$3:L$17,'Raw Data'!$B$3:$B$17,'Collapsed Data'!$B12,'Raw Data'!$C$3:$C$17,'Collapsed Data'!$C12)</f>
        <v>3</v>
      </c>
      <c r="M12">
        <f>SUMIFS('Raw Data'!M$3:M$17,'Raw Data'!$B$3:$B$17,'Collapsed Data'!$B12,'Raw Data'!$C$3:$C$17,'Collapsed Data'!$C12)</f>
        <v>22</v>
      </c>
      <c r="N12">
        <f>SUMIFS('Raw Data'!N$3:N$17,'Raw Data'!$B$3:$B$17,'Collapsed Data'!$B12,'Raw Data'!$C$3:$C$17,'Collapsed Data'!$C12)</f>
        <v>12</v>
      </c>
      <c r="O12">
        <f>SUMIFS('Raw Data'!O$3:O$17,'Raw Data'!$B$3:$B$17,'Collapsed Data'!$B12,'Raw Data'!$C$3:$C$17,'Collapsed Data'!$C12)</f>
        <v>4</v>
      </c>
      <c r="P12">
        <f>SUMIFS('Raw Data'!P$3:P$17,'Raw Data'!$B$3:$B$17,'Collapsed Data'!$B12,'Raw Data'!$C$3:$C$17,'Collapsed Data'!$C12)</f>
        <v>9</v>
      </c>
      <c r="Q12">
        <f>SUMIFS('Raw Data'!Q$3:Q$17,'Raw Data'!$B$3:$B$17,'Collapsed Data'!$B12,'Raw Data'!$C$3:$C$17,'Collapsed Data'!$C12)</f>
        <v>4</v>
      </c>
      <c r="R12">
        <f>SUMIFS('Raw Data'!R$3:R$17,'Raw Data'!$B$3:$B$17,'Collapsed Data'!$B12,'Raw Data'!$C$3:$C$17,'Collapsed Data'!$C12)</f>
        <v>2</v>
      </c>
      <c r="S12">
        <f>SUMIFS('Raw Data'!S$3:S$17,'Raw Data'!$B$3:$B$17,'Collapsed Data'!$B12,'Raw Data'!$C$3:$C$17,'Collapsed Data'!$C12)</f>
        <v>1</v>
      </c>
      <c r="T12">
        <f>SUMIFS('Raw Data'!T$3:T$17,'Raw Data'!$B$3:$B$17,'Collapsed Data'!$B12,'Raw Data'!$C$3:$C$17,'Collapsed Data'!$C12)</f>
        <v>9</v>
      </c>
      <c r="U12">
        <f>SUMIFS('Raw Data'!U$3:U$17,'Raw Data'!$B$3:$B$17,'Collapsed Data'!$B12,'Raw Data'!$C$3:$C$17,'Collapsed Data'!$C12)</f>
        <v>1</v>
      </c>
      <c r="V12">
        <f>SUMIFS('Raw Data'!V$3:V$17,'Raw Data'!$B$3:$B$17,'Collapsed Data'!$B12,'Raw Data'!$C$3:$C$17,'Collapsed Data'!$C12)</f>
        <v>0</v>
      </c>
      <c r="W12">
        <f>SUMIFS('Raw Data'!W$3:W$17,'Raw Data'!$B$3:$B$17,'Collapsed Data'!$B12,'Raw Data'!$C$3:$C$17,'Collapsed Data'!$C12)</f>
        <v>1</v>
      </c>
      <c r="X12">
        <f>SUMIFS('Raw Data'!X$3:X$17,'Raw Data'!$B$3:$B$17,'Collapsed Data'!$B12,'Raw Data'!$C$3:$C$17,'Collapsed Data'!$C12)</f>
        <v>0</v>
      </c>
      <c r="Y12">
        <f>SUMIFS('Raw Data'!Y$3:Y$17,'Raw Data'!$B$3:$B$17,'Collapsed Data'!$B12,'Raw Data'!$C$3:$C$17,'Collapsed Data'!$C12)</f>
        <v>4</v>
      </c>
      <c r="Z12">
        <f>SUMIFS('Raw Data'!Z$3:Z$17,'Raw Data'!$B$3:$B$17,'Collapsed Data'!$B12,'Raw Data'!$C$3:$C$17,'Collapsed Data'!$C12)</f>
        <v>4</v>
      </c>
      <c r="AA12">
        <f>SUMIFS('Raw Data'!AA$3:AA$17,'Raw Data'!$B$3:$B$17,'Collapsed Data'!$B12,'Raw Data'!$C$3:$C$17,'Collapsed Data'!$C12)</f>
        <v>10</v>
      </c>
      <c r="AB12">
        <f>SUMIFS('Raw Data'!AB$3:AB$17,'Raw Data'!$B$3:$B$17,'Collapsed Data'!$B12,'Raw Data'!$C$3:$C$17,'Collapsed Data'!$C12)</f>
        <v>21</v>
      </c>
      <c r="AC12">
        <f>SUMIFS('Raw Data'!AC$3:AC$17,'Raw Data'!$B$3:$B$17,'Collapsed Data'!$B12,'Raw Data'!$C$3:$C$17,'Collapsed Data'!$C12)</f>
        <v>2</v>
      </c>
      <c r="AD12">
        <f>SUMIFS('Raw Data'!AD$3:AD$17,'Raw Data'!$B$3:$B$17,'Collapsed Data'!$B12,'Raw Data'!$C$3:$C$17,'Collapsed Data'!$C12)</f>
        <v>0</v>
      </c>
      <c r="AE12">
        <f>SUMIFS('Raw Data'!AE$3:AE$17,'Raw Data'!$B$3:$B$17,'Collapsed Data'!$B12,'Raw Data'!$C$3:$C$17,'Collapsed Data'!$C12)</f>
        <v>1</v>
      </c>
      <c r="AF12">
        <f>SUMIFS('Raw Data'!AF$3:AF$17,'Raw Data'!$B$3:$B$17,'Collapsed Data'!$B12,'Raw Data'!$C$3:$C$17,'Collapsed Data'!$C12)</f>
        <v>0</v>
      </c>
      <c r="AG12">
        <f>SUMIFS('Raw Data'!AG$3:AG$17,'Raw Data'!$B$3:$B$17,'Collapsed Data'!$B12,'Raw Data'!$C$3:$C$17,'Collapsed Data'!$C12)</f>
        <v>3</v>
      </c>
      <c r="AH12">
        <f>SUMIFS('Raw Data'!AH$3:AH$17,'Raw Data'!$B$3:$B$17,'Collapsed Data'!$B12,'Raw Data'!$C$3:$C$17,'Collapsed Data'!$C12)</f>
        <v>4</v>
      </c>
      <c r="AI12">
        <f>SUMIFS('Raw Data'!AI$3:AI$17,'Raw Data'!$B$3:$B$17,'Collapsed Data'!$B12,'Raw Data'!$C$3:$C$17,'Collapsed Data'!$C12)</f>
        <v>9</v>
      </c>
      <c r="AJ12">
        <f>SUMIFS('Raw Data'!AJ$3:AJ$17,'Raw Data'!$B$3:$B$17,'Collapsed Data'!$B12,'Raw Data'!$C$3:$C$17,'Collapsed Data'!$C12)</f>
        <v>22</v>
      </c>
      <c r="AK12">
        <f>SUMIFS('Raw Data'!AK$3:AK$17,'Raw Data'!$B$3:$B$17,'Collapsed Data'!$B12,'Raw Data'!$C$3:$C$17,'Collapsed Data'!$C12)</f>
        <v>1</v>
      </c>
      <c r="AL12">
        <f>SUMIFS('Raw Data'!AL$3:AL$17,'Raw Data'!$B$3:$B$17,'Collapsed Data'!$B12,'Raw Data'!$C$3:$C$17,'Collapsed Data'!$C12)</f>
        <v>0</v>
      </c>
      <c r="AM12">
        <f>SUMIFS('Raw Data'!AM$3:AM$17,'Raw Data'!$B$3:$B$17,'Collapsed Data'!$B12,'Raw Data'!$C$3:$C$17,'Collapsed Data'!$C12)</f>
        <v>1</v>
      </c>
      <c r="AN12">
        <f>SUMIFS('Raw Data'!AN$3:AN$17,'Raw Data'!$B$3:$B$17,'Collapsed Data'!$B12,'Raw Data'!$C$3:$C$17,'Collapsed Data'!$C12)</f>
        <v>0</v>
      </c>
      <c r="AO12">
        <f>SUMIFS('Raw Data'!AO$3:AO$17,'Raw Data'!$B$3:$B$17,'Collapsed Data'!$B12,'Raw Data'!$C$3:$C$17,'Collapsed Data'!$C12)</f>
        <v>2</v>
      </c>
      <c r="AP12">
        <f>SUMIFS('Raw Data'!AP$3:AP$17,'Raw Data'!$B$3:$B$17,'Collapsed Data'!$B12,'Raw Data'!$C$3:$C$17,'Collapsed Data'!$C12)</f>
        <v>2</v>
      </c>
      <c r="AQ12">
        <f>SUMIFS('Raw Data'!AQ$3:AQ$17,'Raw Data'!$B$3:$B$17,'Collapsed Data'!$B12,'Raw Data'!$C$3:$C$17,'Collapsed Data'!$C12)</f>
        <v>5</v>
      </c>
      <c r="AR12">
        <f>SUMIFS('Raw Data'!AR$3:AR$17,'Raw Data'!$B$3:$B$17,'Collapsed Data'!$B12,'Raw Data'!$C$3:$C$17,'Collapsed Data'!$C12)</f>
        <v>30</v>
      </c>
      <c r="AS12">
        <f>SUMIFS('Raw Data'!AS$3:AS$17,'Raw Data'!$B$3:$B$17,'Collapsed Data'!$B12,'Raw Data'!$C$3:$C$17,'Collapsed Data'!$C12)</f>
        <v>1</v>
      </c>
      <c r="AT12">
        <f>SUMIFS('Raw Data'!AT$3:AT$17,'Raw Data'!$B$3:$B$17,'Collapsed Data'!$B12,'Raw Data'!$C$3:$C$17,'Collapsed Data'!$C12)</f>
        <v>0</v>
      </c>
      <c r="AU12">
        <f>SUMIFS('Raw Data'!AU$3:AU$17,'Raw Data'!$B$3:$B$17,'Collapsed Data'!$B12,'Raw Data'!$C$3:$C$17,'Collapsed Data'!$C12)</f>
        <v>1</v>
      </c>
      <c r="AV12">
        <f>SUMIFS('Raw Data'!AV$3:AV$17,'Raw Data'!$B$3:$B$17,'Collapsed Data'!$B12,'Raw Data'!$C$3:$C$17,'Collapsed Data'!$C12)</f>
        <v>0</v>
      </c>
      <c r="AW12">
        <f>SUMIFS('Raw Data'!AW$3:AW$17,'Raw Data'!$B$3:$B$17,'Collapsed Data'!$B12,'Raw Data'!$C$3:$C$17,'Collapsed Data'!$C12)</f>
        <v>3</v>
      </c>
      <c r="AX12">
        <f>SUMIFS('Raw Data'!AX$3:AX$17,'Raw Data'!$B$3:$B$17,'Collapsed Data'!$B12,'Raw Data'!$C$3:$C$17,'Collapsed Data'!$C12)</f>
        <v>3</v>
      </c>
      <c r="AY12">
        <f>SUMIFS('Raw Data'!AY$3:AY$17,'Raw Data'!$B$3:$B$17,'Collapsed Data'!$B12,'Raw Data'!$C$3:$C$17,'Collapsed Data'!$C12)</f>
        <v>7</v>
      </c>
      <c r="AZ12">
        <f>SUMIFS('Raw Data'!AZ$3:AZ$17,'Raw Data'!$B$3:$B$17,'Collapsed Data'!$B12,'Raw Data'!$C$3:$C$17,'Collapsed Data'!$C12)</f>
        <v>25</v>
      </c>
      <c r="BA12">
        <f>SUMIFS('Raw Data'!BA$3:BA$17,'Raw Data'!$B$3:$B$17,'Collapsed Data'!$B12,'Raw Data'!$C$3:$C$17,'Collapsed Data'!$C12)</f>
        <v>2</v>
      </c>
      <c r="BB12">
        <f>SUMIFS('Raw Data'!BB$3:BB$17,'Raw Data'!$B$3:$B$17,'Collapsed Data'!$B12,'Raw Data'!$C$3:$C$17,'Collapsed Data'!$C12)</f>
        <v>0</v>
      </c>
      <c r="BC12">
        <f>SUMIFS('Raw Data'!BC$3:BC$17,'Raw Data'!$B$3:$B$17,'Collapsed Data'!$B12,'Raw Data'!$C$3:$C$17,'Collapsed Data'!$C12)</f>
        <v>1</v>
      </c>
      <c r="BD12">
        <f>SUMIFS('Raw Data'!BD$3:BD$17,'Raw Data'!$B$3:$B$17,'Collapsed Data'!$B12,'Raw Data'!$C$3:$C$17,'Collapsed Data'!$C12)</f>
        <v>0</v>
      </c>
      <c r="BE12">
        <f>SUMIFS('Raw Data'!BE$3:BE$17,'Raw Data'!$B$3:$B$17,'Collapsed Data'!$B12,'Raw Data'!$C$3:$C$17,'Collapsed Data'!$C12)</f>
        <v>3</v>
      </c>
      <c r="BF12">
        <f>SUMIFS('Raw Data'!BF$3:BF$17,'Raw Data'!$B$3:$B$17,'Collapsed Data'!$B12,'Raw Data'!$C$3:$C$17,'Collapsed Data'!$C12)</f>
        <v>1</v>
      </c>
      <c r="BG12">
        <f>SUMIFS('Raw Data'!BG$3:BG$17,'Raw Data'!$B$3:$B$17,'Collapsed Data'!$B12,'Raw Data'!$C$3:$C$17,'Collapsed Data'!$C12)</f>
        <v>7</v>
      </c>
      <c r="BH12">
        <f>SUMIFS('Raw Data'!BH$3:BH$17,'Raw Data'!$B$3:$B$17,'Collapsed Data'!$B12,'Raw Data'!$C$3:$C$17,'Collapsed Data'!$C12)</f>
        <v>26</v>
      </c>
      <c r="BI12">
        <f>SUMIFS('Raw Data'!BI$3:BI$17,'Raw Data'!$B$3:$B$17,'Collapsed Data'!$B12,'Raw Data'!$C$3:$C$17,'Collapsed Data'!$C12)</f>
        <v>2</v>
      </c>
      <c r="BJ12">
        <f>SUMIFS('Raw Data'!BJ$3:BJ$17,'Raw Data'!$B$3:$B$17,'Collapsed Data'!$B12,'Raw Data'!$C$3:$C$17,'Collapsed Data'!$C12)</f>
        <v>0</v>
      </c>
      <c r="BK12">
        <f>SUMIFS('Raw Data'!BK$3:BK$17,'Raw Data'!$B$3:$B$17,'Collapsed Data'!$B12,'Raw Data'!$C$3:$C$17,'Collapsed Data'!$C12)</f>
        <v>1</v>
      </c>
      <c r="BL12">
        <f>SUMIFS('Raw Data'!BL$3:BL$17,'Raw Data'!$B$3:$B$17,'Collapsed Data'!$B12,'Raw Data'!$C$3:$C$17,'Collapsed Data'!$C12)</f>
        <v>0</v>
      </c>
      <c r="BM12">
        <f>SUMIFS('Raw Data'!BM$3:BM$17,'Raw Data'!$B$3:$B$17,'Collapsed Data'!$B12,'Raw Data'!$C$3:$C$17,'Collapsed Data'!$C12)</f>
        <v>2</v>
      </c>
      <c r="BN12">
        <f>SUMIFS('Raw Data'!BN$3:BN$17,'Raw Data'!$B$3:$B$17,'Collapsed Data'!$B12,'Raw Data'!$C$3:$C$17,'Collapsed Data'!$C12)</f>
        <v>3</v>
      </c>
      <c r="BO12">
        <f>SUMIFS('Raw Data'!BO$3:BO$17,'Raw Data'!$B$3:$B$17,'Collapsed Data'!$B12,'Raw Data'!$C$3:$C$17,'Collapsed Data'!$C12)</f>
        <v>8</v>
      </c>
      <c r="BP12">
        <f>SUMIFS('Raw Data'!BP$3:BP$17,'Raw Data'!$B$3:$B$17,'Collapsed Data'!$B12,'Raw Data'!$C$3:$C$17,'Collapsed Data'!$C12)</f>
        <v>25</v>
      </c>
      <c r="BQ12">
        <f>SUMIFS('Raw Data'!BQ$3:BQ$17,'Raw Data'!$B$3:$B$17,'Collapsed Data'!$B12,'Raw Data'!$C$3:$C$17,'Collapsed Data'!$C12)</f>
        <v>1</v>
      </c>
      <c r="BR12">
        <f>SUMIFS('Raw Data'!BR$3:BR$17,'Raw Data'!$B$3:$B$17,'Collapsed Data'!$B12,'Raw Data'!$C$3:$C$17,'Collapsed Data'!$C12)</f>
        <v>0</v>
      </c>
      <c r="BS12">
        <f>SUMIFS('Raw Data'!BS$3:BS$17,'Raw Data'!$B$3:$B$17,'Collapsed Data'!$B12,'Raw Data'!$C$3:$C$17,'Collapsed Data'!$C12)</f>
        <v>1</v>
      </c>
      <c r="BT12">
        <f>SUMIFS('Raw Data'!BT$3:BT$17,'Raw Data'!$B$3:$B$17,'Collapsed Data'!$B12,'Raw Data'!$C$3:$C$17,'Collapsed Data'!$C12)</f>
        <v>0</v>
      </c>
      <c r="BU12">
        <f>SUMIFS('Raw Data'!BU$3:BU$17,'Raw Data'!$B$3:$B$17,'Collapsed Data'!$B12,'Raw Data'!$C$3:$C$17,'Collapsed Data'!$C12)</f>
        <v>3</v>
      </c>
      <c r="BV12">
        <f>SUMIFS('Raw Data'!BV$3:BV$17,'Raw Data'!$B$3:$B$17,'Collapsed Data'!$B12,'Raw Data'!$C$3:$C$17,'Collapsed Data'!$C12)</f>
        <v>2</v>
      </c>
      <c r="BW12">
        <f>SUMIFS('Raw Data'!BW$3:BW$17,'Raw Data'!$B$3:$B$17,'Collapsed Data'!$B12,'Raw Data'!$C$3:$C$17,'Collapsed Data'!$C12)</f>
        <v>7</v>
      </c>
      <c r="BX12">
        <f>SUMIFS('Raw Data'!BX$3:BX$17,'Raw Data'!$B$3:$B$17,'Collapsed Data'!$B12,'Raw Data'!$C$3:$C$17,'Collapsed Data'!$C12)</f>
        <v>27</v>
      </c>
      <c r="BY12">
        <f>SUMIFS('Raw Data'!BY$3:BY$17,'Raw Data'!$B$3:$B$17,'Collapsed Data'!$B12,'Raw Data'!$C$3:$C$17,'Collapsed Data'!$C12)</f>
        <v>0</v>
      </c>
      <c r="BZ12">
        <f>SUMIFS('Raw Data'!BZ$3:BZ$17,'Raw Data'!$B$3:$B$17,'Collapsed Data'!$B12,'Raw Data'!$C$3:$C$17,'Collapsed Data'!$C12)</f>
        <v>0</v>
      </c>
      <c r="CA12">
        <f>SUMIFS('Raw Data'!CA$3:CA$17,'Raw Data'!$B$3:$B$17,'Collapsed Data'!$B12,'Raw Data'!$C$3:$C$17,'Collapsed Data'!$C12)</f>
        <v>0</v>
      </c>
      <c r="CB12">
        <f>SUMIFS('Raw Data'!CB$3:CB$17,'Raw Data'!$B$3:$B$17,'Collapsed Data'!$B12,'Raw Data'!$C$3:$C$17,'Collapsed Data'!$C12)</f>
        <v>3</v>
      </c>
      <c r="CC12">
        <f>SUMIFS('Raw Data'!CC$3:CC$17,'Raw Data'!$B$3:$B$17,'Collapsed Data'!$B12,'Raw Data'!$C$3:$C$17,'Collapsed Data'!$C12)</f>
        <v>2</v>
      </c>
      <c r="CD12">
        <f>SUMIFS('Raw Data'!CD$3:CD$17,'Raw Data'!$B$3:$B$17,'Collapsed Data'!$B12,'Raw Data'!$C$3:$C$17,'Collapsed Data'!$C12)</f>
        <v>9</v>
      </c>
      <c r="CE12">
        <f>SUMIFS('Raw Data'!CE$3:CE$17,'Raw Data'!$B$3:$B$17,'Collapsed Data'!$B12,'Raw Data'!$C$3:$C$17,'Collapsed Data'!$C12)</f>
        <v>26</v>
      </c>
    </row>
    <row r="13" spans="1:84" x14ac:dyDescent="0.25">
      <c r="A13">
        <v>11</v>
      </c>
      <c r="B13" t="s">
        <v>6</v>
      </c>
      <c r="C13" t="s">
        <v>90</v>
      </c>
      <c r="D13" s="1" t="s">
        <v>8</v>
      </c>
      <c r="E13">
        <v>19</v>
      </c>
      <c r="F13">
        <v>45</v>
      </c>
      <c r="G13">
        <f>SUMIFS('Raw Data'!G$3:G$17,'Raw Data'!$B$3:$B$17,'Collapsed Data'!$B13,'Raw Data'!$C$3:$C$17,'Collapsed Data'!$C13)</f>
        <v>1</v>
      </c>
      <c r="H13">
        <f>SUMIFS('Raw Data'!H$3:H$17,'Raw Data'!$B$3:$B$17,'Collapsed Data'!$B13,'Raw Data'!$C$3:$C$17,'Collapsed Data'!$C13)</f>
        <v>1</v>
      </c>
      <c r="I13">
        <f>SUMIFS('Raw Data'!I$3:I$17,'Raw Data'!$B$3:$B$17,'Collapsed Data'!$B13,'Raw Data'!$C$3:$C$17,'Collapsed Data'!$C13)</f>
        <v>7</v>
      </c>
      <c r="J13">
        <f>SUMIFS('Raw Data'!J$3:J$17,'Raw Data'!$B$3:$B$17,'Collapsed Data'!$B13,'Raw Data'!$C$3:$C$17,'Collapsed Data'!$C13)</f>
        <v>2</v>
      </c>
      <c r="K13">
        <f>SUMIFS('Raw Data'!K$3:K$17,'Raw Data'!$B$3:$B$17,'Collapsed Data'!$B13,'Raw Data'!$C$3:$C$17,'Collapsed Data'!$C13)</f>
        <v>2</v>
      </c>
      <c r="L13">
        <f>SUMIFS('Raw Data'!L$3:L$17,'Raw Data'!$B$3:$B$17,'Collapsed Data'!$B13,'Raw Data'!$C$3:$C$17,'Collapsed Data'!$C13)</f>
        <v>0</v>
      </c>
      <c r="M13">
        <f>SUMIFS('Raw Data'!M$3:M$17,'Raw Data'!$B$3:$B$17,'Collapsed Data'!$B13,'Raw Data'!$C$3:$C$17,'Collapsed Data'!$C13)</f>
        <v>2</v>
      </c>
      <c r="N13">
        <f>SUMIFS('Raw Data'!N$3:N$17,'Raw Data'!$B$3:$B$17,'Collapsed Data'!$B13,'Raw Data'!$C$3:$C$17,'Collapsed Data'!$C13)</f>
        <v>13</v>
      </c>
      <c r="O13">
        <f>SUMIFS('Raw Data'!O$3:O$17,'Raw Data'!$B$3:$B$17,'Collapsed Data'!$B13,'Raw Data'!$C$3:$C$17,'Collapsed Data'!$C13)</f>
        <v>2</v>
      </c>
      <c r="P13">
        <f>SUMIFS('Raw Data'!P$3:P$17,'Raw Data'!$B$3:$B$17,'Collapsed Data'!$B13,'Raw Data'!$C$3:$C$17,'Collapsed Data'!$C13)</f>
        <v>0</v>
      </c>
      <c r="Q13">
        <f>SUMIFS('Raw Data'!Q$3:Q$17,'Raw Data'!$B$3:$B$17,'Collapsed Data'!$B13,'Raw Data'!$C$3:$C$17,'Collapsed Data'!$C13)</f>
        <v>0</v>
      </c>
      <c r="R13">
        <f>SUMIFS('Raw Data'!R$3:R$17,'Raw Data'!$B$3:$B$17,'Collapsed Data'!$B13,'Raw Data'!$C$3:$C$17,'Collapsed Data'!$C13)</f>
        <v>0</v>
      </c>
      <c r="S13">
        <f>SUMIFS('Raw Data'!S$3:S$17,'Raw Data'!$B$3:$B$17,'Collapsed Data'!$B13,'Raw Data'!$C$3:$C$17,'Collapsed Data'!$C13)</f>
        <v>0</v>
      </c>
      <c r="T13">
        <f>SUMIFS('Raw Data'!T$3:T$17,'Raw Data'!$B$3:$B$17,'Collapsed Data'!$B13,'Raw Data'!$C$3:$C$17,'Collapsed Data'!$C13)</f>
        <v>0</v>
      </c>
      <c r="U13">
        <f>SUMIFS('Raw Data'!U$3:U$17,'Raw Data'!$B$3:$B$17,'Collapsed Data'!$B13,'Raw Data'!$C$3:$C$17,'Collapsed Data'!$C13)</f>
        <v>0</v>
      </c>
      <c r="V13">
        <f>SUMIFS('Raw Data'!V$3:V$17,'Raw Data'!$B$3:$B$17,'Collapsed Data'!$B13,'Raw Data'!$C$3:$C$17,'Collapsed Data'!$C13)</f>
        <v>0</v>
      </c>
      <c r="W13">
        <f>SUMIFS('Raw Data'!W$3:W$17,'Raw Data'!$B$3:$B$17,'Collapsed Data'!$B13,'Raw Data'!$C$3:$C$17,'Collapsed Data'!$C13)</f>
        <v>0</v>
      </c>
      <c r="X13">
        <f>SUMIFS('Raw Data'!X$3:X$17,'Raw Data'!$B$3:$B$17,'Collapsed Data'!$B13,'Raw Data'!$C$3:$C$17,'Collapsed Data'!$C13)</f>
        <v>0</v>
      </c>
      <c r="Y13">
        <f>SUMIFS('Raw Data'!Y$3:Y$17,'Raw Data'!$B$3:$B$17,'Collapsed Data'!$B13,'Raw Data'!$C$3:$C$17,'Collapsed Data'!$C13)</f>
        <v>2</v>
      </c>
      <c r="Z13">
        <f>SUMIFS('Raw Data'!Z$3:Z$17,'Raw Data'!$B$3:$B$17,'Collapsed Data'!$B13,'Raw Data'!$C$3:$C$17,'Collapsed Data'!$C13)</f>
        <v>2</v>
      </c>
      <c r="AA13">
        <f>SUMIFS('Raw Data'!AA$3:AA$17,'Raw Data'!$B$3:$B$17,'Collapsed Data'!$B13,'Raw Data'!$C$3:$C$17,'Collapsed Data'!$C13)</f>
        <v>6</v>
      </c>
      <c r="AB13">
        <f>SUMIFS('Raw Data'!AB$3:AB$17,'Raw Data'!$B$3:$B$17,'Collapsed Data'!$B13,'Raw Data'!$C$3:$C$17,'Collapsed Data'!$C13)</f>
        <v>7</v>
      </c>
      <c r="AC13">
        <f>SUMIFS('Raw Data'!AC$3:AC$17,'Raw Data'!$B$3:$B$17,'Collapsed Data'!$B13,'Raw Data'!$C$3:$C$17,'Collapsed Data'!$C13)</f>
        <v>0</v>
      </c>
      <c r="AD13">
        <f>SUMIFS('Raw Data'!AD$3:AD$17,'Raw Data'!$B$3:$B$17,'Collapsed Data'!$B13,'Raw Data'!$C$3:$C$17,'Collapsed Data'!$C13)</f>
        <v>0</v>
      </c>
      <c r="AE13">
        <f>SUMIFS('Raw Data'!AE$3:AE$17,'Raw Data'!$B$3:$B$17,'Collapsed Data'!$B13,'Raw Data'!$C$3:$C$17,'Collapsed Data'!$C13)</f>
        <v>0</v>
      </c>
      <c r="AF13">
        <f>SUMIFS('Raw Data'!AF$3:AF$17,'Raw Data'!$B$3:$B$17,'Collapsed Data'!$B13,'Raw Data'!$C$3:$C$17,'Collapsed Data'!$C13)</f>
        <v>0</v>
      </c>
      <c r="AG13">
        <f>SUMIFS('Raw Data'!AG$3:AG$17,'Raw Data'!$B$3:$B$17,'Collapsed Data'!$B13,'Raw Data'!$C$3:$C$17,'Collapsed Data'!$C13)</f>
        <v>3</v>
      </c>
      <c r="AH13">
        <f>SUMIFS('Raw Data'!AH$3:AH$17,'Raw Data'!$B$3:$B$17,'Collapsed Data'!$B13,'Raw Data'!$C$3:$C$17,'Collapsed Data'!$C13)</f>
        <v>2</v>
      </c>
      <c r="AI13">
        <f>SUMIFS('Raw Data'!AI$3:AI$17,'Raw Data'!$B$3:$B$17,'Collapsed Data'!$B13,'Raw Data'!$C$3:$C$17,'Collapsed Data'!$C13)</f>
        <v>5</v>
      </c>
      <c r="AJ13">
        <f>SUMIFS('Raw Data'!AJ$3:AJ$17,'Raw Data'!$B$3:$B$17,'Collapsed Data'!$B13,'Raw Data'!$C$3:$C$17,'Collapsed Data'!$C13)</f>
        <v>7</v>
      </c>
      <c r="AK13">
        <f>SUMIFS('Raw Data'!AK$3:AK$17,'Raw Data'!$B$3:$B$17,'Collapsed Data'!$B13,'Raw Data'!$C$3:$C$17,'Collapsed Data'!$C13)</f>
        <v>0</v>
      </c>
      <c r="AL13">
        <f>SUMIFS('Raw Data'!AL$3:AL$17,'Raw Data'!$B$3:$B$17,'Collapsed Data'!$B13,'Raw Data'!$C$3:$C$17,'Collapsed Data'!$C13)</f>
        <v>0</v>
      </c>
      <c r="AM13">
        <f>SUMIFS('Raw Data'!AM$3:AM$17,'Raw Data'!$B$3:$B$17,'Collapsed Data'!$B13,'Raw Data'!$C$3:$C$17,'Collapsed Data'!$C13)</f>
        <v>0</v>
      </c>
      <c r="AN13">
        <f>SUMIFS('Raw Data'!AN$3:AN$17,'Raw Data'!$B$3:$B$17,'Collapsed Data'!$B13,'Raw Data'!$C$3:$C$17,'Collapsed Data'!$C13)</f>
        <v>0</v>
      </c>
      <c r="AO13">
        <f>SUMIFS('Raw Data'!AO$3:AO$17,'Raw Data'!$B$3:$B$17,'Collapsed Data'!$B13,'Raw Data'!$C$3:$C$17,'Collapsed Data'!$C13)</f>
        <v>2</v>
      </c>
      <c r="AP13">
        <f>SUMIFS('Raw Data'!AP$3:AP$17,'Raw Data'!$B$3:$B$17,'Collapsed Data'!$B13,'Raw Data'!$C$3:$C$17,'Collapsed Data'!$C13)</f>
        <v>2</v>
      </c>
      <c r="AQ13">
        <f>SUMIFS('Raw Data'!AQ$3:AQ$17,'Raw Data'!$B$3:$B$17,'Collapsed Data'!$B13,'Raw Data'!$C$3:$C$17,'Collapsed Data'!$C13)</f>
        <v>2</v>
      </c>
      <c r="AR13">
        <f>SUMIFS('Raw Data'!AR$3:AR$17,'Raw Data'!$B$3:$B$17,'Collapsed Data'!$B13,'Raw Data'!$C$3:$C$17,'Collapsed Data'!$C13)</f>
        <v>11</v>
      </c>
      <c r="AS13">
        <f>SUMIFS('Raw Data'!AS$3:AS$17,'Raw Data'!$B$3:$B$17,'Collapsed Data'!$B13,'Raw Data'!$C$3:$C$17,'Collapsed Data'!$C13)</f>
        <v>0</v>
      </c>
      <c r="AT13">
        <f>SUMIFS('Raw Data'!AT$3:AT$17,'Raw Data'!$B$3:$B$17,'Collapsed Data'!$B13,'Raw Data'!$C$3:$C$17,'Collapsed Data'!$C13)</f>
        <v>0</v>
      </c>
      <c r="AU13">
        <f>SUMIFS('Raw Data'!AU$3:AU$17,'Raw Data'!$B$3:$B$17,'Collapsed Data'!$B13,'Raw Data'!$C$3:$C$17,'Collapsed Data'!$C13)</f>
        <v>0</v>
      </c>
      <c r="AV13">
        <f>SUMIFS('Raw Data'!AV$3:AV$17,'Raw Data'!$B$3:$B$17,'Collapsed Data'!$B13,'Raw Data'!$C$3:$C$17,'Collapsed Data'!$C13)</f>
        <v>0</v>
      </c>
      <c r="AW13">
        <f>SUMIFS('Raw Data'!AW$3:AW$17,'Raw Data'!$B$3:$B$17,'Collapsed Data'!$B13,'Raw Data'!$C$3:$C$17,'Collapsed Data'!$C13)</f>
        <v>2</v>
      </c>
      <c r="AX13">
        <f>SUMIFS('Raw Data'!AX$3:AX$17,'Raw Data'!$B$3:$B$17,'Collapsed Data'!$B13,'Raw Data'!$C$3:$C$17,'Collapsed Data'!$C13)</f>
        <v>3</v>
      </c>
      <c r="AY13">
        <f>SUMIFS('Raw Data'!AY$3:AY$17,'Raw Data'!$B$3:$B$17,'Collapsed Data'!$B13,'Raw Data'!$C$3:$C$17,'Collapsed Data'!$C13)</f>
        <v>4</v>
      </c>
      <c r="AZ13">
        <f>SUMIFS('Raw Data'!AZ$3:AZ$17,'Raw Data'!$B$3:$B$17,'Collapsed Data'!$B13,'Raw Data'!$C$3:$C$17,'Collapsed Data'!$C13)</f>
        <v>8</v>
      </c>
      <c r="BA13">
        <f>SUMIFS('Raw Data'!BA$3:BA$17,'Raw Data'!$B$3:$B$17,'Collapsed Data'!$B13,'Raw Data'!$C$3:$C$17,'Collapsed Data'!$C13)</f>
        <v>0</v>
      </c>
      <c r="BB13">
        <f>SUMIFS('Raw Data'!BB$3:BB$17,'Raw Data'!$B$3:$B$17,'Collapsed Data'!$B13,'Raw Data'!$C$3:$C$17,'Collapsed Data'!$C13)</f>
        <v>0</v>
      </c>
      <c r="BC13">
        <f>SUMIFS('Raw Data'!BC$3:BC$17,'Raw Data'!$B$3:$B$17,'Collapsed Data'!$B13,'Raw Data'!$C$3:$C$17,'Collapsed Data'!$C13)</f>
        <v>0</v>
      </c>
      <c r="BD13">
        <f>SUMIFS('Raw Data'!BD$3:BD$17,'Raw Data'!$B$3:$B$17,'Collapsed Data'!$B13,'Raw Data'!$C$3:$C$17,'Collapsed Data'!$C13)</f>
        <v>0</v>
      </c>
      <c r="BE13">
        <f>SUMIFS('Raw Data'!BE$3:BE$17,'Raw Data'!$B$3:$B$17,'Collapsed Data'!$B13,'Raw Data'!$C$3:$C$17,'Collapsed Data'!$C13)</f>
        <v>3</v>
      </c>
      <c r="BF13">
        <f>SUMIFS('Raw Data'!BF$3:BF$17,'Raw Data'!$B$3:$B$17,'Collapsed Data'!$B13,'Raw Data'!$C$3:$C$17,'Collapsed Data'!$C13)</f>
        <v>1</v>
      </c>
      <c r="BG13">
        <f>SUMIFS('Raw Data'!BG$3:BG$17,'Raw Data'!$B$3:$B$17,'Collapsed Data'!$B13,'Raw Data'!$C$3:$C$17,'Collapsed Data'!$C13)</f>
        <v>4</v>
      </c>
      <c r="BH13">
        <f>SUMIFS('Raw Data'!BH$3:BH$17,'Raw Data'!$B$3:$B$17,'Collapsed Data'!$B13,'Raw Data'!$C$3:$C$17,'Collapsed Data'!$C13)</f>
        <v>9</v>
      </c>
      <c r="BI13">
        <f>SUMIFS('Raw Data'!BI$3:BI$17,'Raw Data'!$B$3:$B$17,'Collapsed Data'!$B13,'Raw Data'!$C$3:$C$17,'Collapsed Data'!$C13)</f>
        <v>0</v>
      </c>
      <c r="BJ13">
        <f>SUMIFS('Raw Data'!BJ$3:BJ$17,'Raw Data'!$B$3:$B$17,'Collapsed Data'!$B13,'Raw Data'!$C$3:$C$17,'Collapsed Data'!$C13)</f>
        <v>0</v>
      </c>
      <c r="BK13">
        <f>SUMIFS('Raw Data'!BK$3:BK$17,'Raw Data'!$B$3:$B$17,'Collapsed Data'!$B13,'Raw Data'!$C$3:$C$17,'Collapsed Data'!$C13)</f>
        <v>1</v>
      </c>
      <c r="BL13">
        <f>SUMIFS('Raw Data'!BL$3:BL$17,'Raw Data'!$B$3:$B$17,'Collapsed Data'!$B13,'Raw Data'!$C$3:$C$17,'Collapsed Data'!$C13)</f>
        <v>0</v>
      </c>
      <c r="BM13">
        <f>SUMIFS('Raw Data'!BM$3:BM$17,'Raw Data'!$B$3:$B$17,'Collapsed Data'!$B13,'Raw Data'!$C$3:$C$17,'Collapsed Data'!$C13)</f>
        <v>2</v>
      </c>
      <c r="BN13">
        <f>SUMIFS('Raw Data'!BN$3:BN$17,'Raw Data'!$B$3:$B$17,'Collapsed Data'!$B13,'Raw Data'!$C$3:$C$17,'Collapsed Data'!$C13)</f>
        <v>1</v>
      </c>
      <c r="BO13">
        <f>SUMIFS('Raw Data'!BO$3:BO$17,'Raw Data'!$B$3:$B$17,'Collapsed Data'!$B13,'Raw Data'!$C$3:$C$17,'Collapsed Data'!$C13)</f>
        <v>4</v>
      </c>
      <c r="BP13">
        <f>SUMIFS('Raw Data'!BP$3:BP$17,'Raw Data'!$B$3:$B$17,'Collapsed Data'!$B13,'Raw Data'!$C$3:$C$17,'Collapsed Data'!$C13)</f>
        <v>9</v>
      </c>
      <c r="BQ13">
        <f>SUMIFS('Raw Data'!BQ$3:BQ$17,'Raw Data'!$B$3:$B$17,'Collapsed Data'!$B13,'Raw Data'!$C$3:$C$17,'Collapsed Data'!$C13)</f>
        <v>0</v>
      </c>
      <c r="BR13">
        <f>SUMIFS('Raw Data'!BR$3:BR$17,'Raw Data'!$B$3:$B$17,'Collapsed Data'!$B13,'Raw Data'!$C$3:$C$17,'Collapsed Data'!$C13)</f>
        <v>0</v>
      </c>
      <c r="BS13">
        <f>SUMIFS('Raw Data'!BS$3:BS$17,'Raw Data'!$B$3:$B$17,'Collapsed Data'!$B13,'Raw Data'!$C$3:$C$17,'Collapsed Data'!$C13)</f>
        <v>0</v>
      </c>
      <c r="BT13">
        <f>SUMIFS('Raw Data'!BT$3:BT$17,'Raw Data'!$B$3:$B$17,'Collapsed Data'!$B13,'Raw Data'!$C$3:$C$17,'Collapsed Data'!$C13)</f>
        <v>1</v>
      </c>
      <c r="BU13">
        <f>SUMIFS('Raw Data'!BU$3:BU$17,'Raw Data'!$B$3:$B$17,'Collapsed Data'!$B13,'Raw Data'!$C$3:$C$17,'Collapsed Data'!$C13)</f>
        <v>2</v>
      </c>
      <c r="BV13">
        <f>SUMIFS('Raw Data'!BV$3:BV$17,'Raw Data'!$B$3:$B$17,'Collapsed Data'!$B13,'Raw Data'!$C$3:$C$17,'Collapsed Data'!$C13)</f>
        <v>1</v>
      </c>
      <c r="BW13">
        <f>SUMIFS('Raw Data'!BW$3:BW$17,'Raw Data'!$B$3:$B$17,'Collapsed Data'!$B13,'Raw Data'!$C$3:$C$17,'Collapsed Data'!$C13)</f>
        <v>4</v>
      </c>
      <c r="BX13">
        <f>SUMIFS('Raw Data'!BX$3:BX$17,'Raw Data'!$B$3:$B$17,'Collapsed Data'!$B13,'Raw Data'!$C$3:$C$17,'Collapsed Data'!$C13)</f>
        <v>9</v>
      </c>
      <c r="BY13">
        <f>SUMIFS('Raw Data'!BY$3:BY$17,'Raw Data'!$B$3:$B$17,'Collapsed Data'!$B13,'Raw Data'!$C$3:$C$17,'Collapsed Data'!$C13)</f>
        <v>0</v>
      </c>
      <c r="BZ13">
        <f>SUMIFS('Raw Data'!BZ$3:BZ$17,'Raw Data'!$B$3:$B$17,'Collapsed Data'!$B13,'Raw Data'!$C$3:$C$17,'Collapsed Data'!$C13)</f>
        <v>0</v>
      </c>
      <c r="CA13">
        <f>SUMIFS('Raw Data'!CA$3:CA$17,'Raw Data'!$B$3:$B$17,'Collapsed Data'!$B13,'Raw Data'!$C$3:$C$17,'Collapsed Data'!$C13)</f>
        <v>1</v>
      </c>
      <c r="CB13">
        <f>SUMIFS('Raw Data'!CB$3:CB$17,'Raw Data'!$B$3:$B$17,'Collapsed Data'!$B13,'Raw Data'!$C$3:$C$17,'Collapsed Data'!$C13)</f>
        <v>2</v>
      </c>
      <c r="CC13">
        <f>SUMIFS('Raw Data'!CC$3:CC$17,'Raw Data'!$B$3:$B$17,'Collapsed Data'!$B13,'Raw Data'!$C$3:$C$17,'Collapsed Data'!$C13)</f>
        <v>3</v>
      </c>
      <c r="CD13">
        <f>SUMIFS('Raw Data'!CD$3:CD$17,'Raw Data'!$B$3:$B$17,'Collapsed Data'!$B13,'Raw Data'!$C$3:$C$17,'Collapsed Data'!$C13)</f>
        <v>11</v>
      </c>
      <c r="CE13" s="20">
        <v>0</v>
      </c>
    </row>
  </sheetData>
  <autoFilter ref="A2:CE2" xr:uid="{7AB0FBC2-D71F-41BD-B801-77B9FEE7856E}">
    <sortState xmlns:xlrd2="http://schemas.microsoft.com/office/spreadsheetml/2017/richdata2" ref="A3:CE16">
      <sortCondition ref="A2"/>
    </sortState>
  </autoFilter>
  <mergeCells count="10">
    <mergeCell ref="BA1:BH1"/>
    <mergeCell ref="BI1:BP1"/>
    <mergeCell ref="BQ1:BX1"/>
    <mergeCell ref="BY1:CE1"/>
    <mergeCell ref="G1:M1"/>
    <mergeCell ref="N1:T1"/>
    <mergeCell ref="U1:AB1"/>
    <mergeCell ref="AC1:AJ1"/>
    <mergeCell ref="AK1:AR1"/>
    <mergeCell ref="AS1:AZ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63CC-39D9-4989-867E-AD179EBEA4B9}">
  <dimension ref="A1:J49"/>
  <sheetViews>
    <sheetView workbookViewId="0">
      <selection activeCell="B6" sqref="B6:H6"/>
    </sheetView>
  </sheetViews>
  <sheetFormatPr defaultRowHeight="15" x14ac:dyDescent="0.25"/>
  <cols>
    <col min="2" max="2" width="8.140625" customWidth="1"/>
    <col min="3" max="3" width="12.140625" customWidth="1"/>
    <col min="4" max="4" width="18.28515625" customWidth="1"/>
    <col min="5" max="5" width="12.140625" customWidth="1"/>
    <col min="6" max="6" width="19.42578125" customWidth="1"/>
    <col min="7" max="9" width="12.140625" customWidth="1"/>
    <col min="10" max="10" width="11.7109375" customWidth="1"/>
  </cols>
  <sheetData>
    <row r="1" spans="1:10" ht="28.5" x14ac:dyDescent="0.25">
      <c r="A1" s="12" t="s">
        <v>57</v>
      </c>
      <c r="B1" s="12"/>
      <c r="C1" s="12"/>
      <c r="D1" s="12"/>
      <c r="E1" s="12"/>
      <c r="F1" s="12"/>
      <c r="G1" s="12"/>
    </row>
    <row r="2" spans="1:10" x14ac:dyDescent="0.25">
      <c r="I2" s="3"/>
    </row>
    <row r="3" spans="1:10" x14ac:dyDescent="0.25">
      <c r="A3" t="s">
        <v>94</v>
      </c>
      <c r="I3" s="3"/>
    </row>
    <row r="4" spans="1:10" x14ac:dyDescent="0.25">
      <c r="I4" s="3"/>
    </row>
    <row r="5" spans="1:10" x14ac:dyDescent="0.25">
      <c r="A5" s="1" t="s">
        <v>55</v>
      </c>
      <c r="B5" s="1" t="s">
        <v>25</v>
      </c>
      <c r="C5" s="1" t="s">
        <v>26</v>
      </c>
      <c r="D5" s="1" t="s">
        <v>60</v>
      </c>
      <c r="E5" s="1" t="s">
        <v>28</v>
      </c>
      <c r="F5" s="1" t="s">
        <v>59</v>
      </c>
      <c r="G5" s="1" t="s">
        <v>58</v>
      </c>
      <c r="H5" s="1" t="s">
        <v>31</v>
      </c>
    </row>
    <row r="6" spans="1:10" x14ac:dyDescent="0.25">
      <c r="A6">
        <f>SUM(B6:H6)</f>
        <v>476</v>
      </c>
      <c r="B6">
        <f>SUM('Collapsed Data'!BY3:BY13)</f>
        <v>9</v>
      </c>
      <c r="C6">
        <f>SUM('Collapsed Data'!BZ3:BZ13)</f>
        <v>9</v>
      </c>
      <c r="D6">
        <f>SUM('Collapsed Data'!CA3:CA13)</f>
        <v>30</v>
      </c>
      <c r="E6">
        <f>SUM('Collapsed Data'!CB3:CB13)</f>
        <v>112</v>
      </c>
      <c r="F6">
        <f>SUM('Collapsed Data'!CC3:CC13)</f>
        <v>95</v>
      </c>
      <c r="G6">
        <f>SUM('Collapsed Data'!CD3:CD13)</f>
        <v>105</v>
      </c>
      <c r="H6">
        <f>SUM('Collapsed Data'!CE3:CE13)</f>
        <v>116</v>
      </c>
      <c r="J6" s="21" t="s">
        <v>92</v>
      </c>
    </row>
    <row r="7" spans="1:10" x14ac:dyDescent="0.25">
      <c r="A7" s="5"/>
      <c r="B7" s="5">
        <f t="shared" ref="B7:H7" si="0">B6/$A$6</f>
        <v>1.8907563025210083E-2</v>
      </c>
      <c r="C7" s="5">
        <f t="shared" si="0"/>
        <v>1.8907563025210083E-2</v>
      </c>
      <c r="D7" s="5">
        <f t="shared" si="0"/>
        <v>6.3025210084033612E-2</v>
      </c>
      <c r="E7" s="5">
        <f t="shared" si="0"/>
        <v>0.23529411764705882</v>
      </c>
      <c r="F7" s="5">
        <f t="shared" si="0"/>
        <v>0.19957983193277312</v>
      </c>
      <c r="G7" s="5">
        <f t="shared" si="0"/>
        <v>0.22058823529411764</v>
      </c>
      <c r="H7" s="5">
        <f t="shared" si="0"/>
        <v>0.24369747899159663</v>
      </c>
      <c r="I7" s="5"/>
      <c r="J7" s="27">
        <f>SUM(E7:H7)</f>
        <v>0.89915966386554624</v>
      </c>
    </row>
    <row r="9" spans="1:10" x14ac:dyDescent="0.25">
      <c r="D9" s="7"/>
      <c r="G9" s="4"/>
      <c r="H9" s="7"/>
    </row>
    <row r="37" spans="3:9" ht="28.5" x14ac:dyDescent="0.45">
      <c r="C37" s="25" t="s">
        <v>78</v>
      </c>
      <c r="D37" s="25"/>
      <c r="E37" s="25"/>
      <c r="F37" s="25"/>
      <c r="G37" s="25"/>
    </row>
    <row r="38" spans="3:9" x14ac:dyDescent="0.25">
      <c r="D38" t="s">
        <v>76</v>
      </c>
      <c r="G38" t="s">
        <v>75</v>
      </c>
    </row>
    <row r="39" spans="3:9" x14ac:dyDescent="0.25">
      <c r="C39" t="s">
        <v>62</v>
      </c>
      <c r="D39" s="1" t="s">
        <v>55</v>
      </c>
      <c r="E39" s="1" t="s">
        <v>63</v>
      </c>
      <c r="G39" t="s">
        <v>65</v>
      </c>
    </row>
    <row r="40" spans="3:9" x14ac:dyDescent="0.25">
      <c r="C40" t="s">
        <v>38</v>
      </c>
      <c r="D40">
        <f>SUM('Collapsed Data'!CC3:CE3)</f>
        <v>42</v>
      </c>
      <c r="E40" s="5">
        <f>D40/SUM('Collapsed Data'!BY3:CE3)</f>
        <v>0.59154929577464788</v>
      </c>
      <c r="G40" s="6">
        <f>('Collapsed Data'!BY3*1+'Collapsed Data'!BZ3*2+'Collapsed Data'!CA3*3+'Collapsed Data'!CB3*4+'Collapsed Data'!CC3*5+'Collapsed Data'!CD3*6+'Collapsed Data'!CE3*7)/SUM('Collapsed Data'!BY3:CE3)</f>
        <v>4.859154929577465</v>
      </c>
    </row>
    <row r="41" spans="3:9" x14ac:dyDescent="0.25">
      <c r="C41" t="s">
        <v>48</v>
      </c>
      <c r="D41">
        <f>SUM('Collapsed Data'!CC4:CE4)</f>
        <v>23</v>
      </c>
      <c r="E41" s="5">
        <f>D41/SUM('Collapsed Data'!BY4:CE4)</f>
        <v>0.74193548387096775</v>
      </c>
      <c r="G41" s="6">
        <f>('Collapsed Data'!BY4*1+'Collapsed Data'!BZ4*2+'Collapsed Data'!CA4*3+'Collapsed Data'!CB4*4+'Collapsed Data'!CC4*5+'Collapsed Data'!CD4*6+'Collapsed Data'!CE4*7)/SUM('Collapsed Data'!BY4:CE4)</f>
        <v>5.5483870967741939</v>
      </c>
    </row>
    <row r="42" spans="3:9" x14ac:dyDescent="0.25">
      <c r="C42" t="s">
        <v>46</v>
      </c>
      <c r="D42">
        <f>SUM('Collapsed Data'!CC5:CE5)</f>
        <v>19</v>
      </c>
      <c r="E42" s="5">
        <f>D42/SUM('Collapsed Data'!BY5:CE5)</f>
        <v>0.52777777777777779</v>
      </c>
      <c r="G42" s="6">
        <f>('Collapsed Data'!BY5*1+'Collapsed Data'!BZ5*2+'Collapsed Data'!CA5*3+'Collapsed Data'!CB5*4+'Collapsed Data'!CC5*5+'Collapsed Data'!CD5*6+'Collapsed Data'!CE5*7)/SUM('Collapsed Data'!BY5:CE5)</f>
        <v>4.8055555555555554</v>
      </c>
    </row>
    <row r="43" spans="3:9" x14ac:dyDescent="0.25">
      <c r="C43" t="s">
        <v>38</v>
      </c>
      <c r="D43">
        <f>SUM('Collapsed Data'!CC6:CE6)</f>
        <v>48</v>
      </c>
      <c r="E43" s="5">
        <f>D43/SUM('Collapsed Data'!BY6:CE6)</f>
        <v>0.7384615384615385</v>
      </c>
      <c r="G43" s="6">
        <f>('Collapsed Data'!BY6*1+'Collapsed Data'!BZ6*2+'Collapsed Data'!CA6*3+'Collapsed Data'!CB6*4+'Collapsed Data'!CC6*5+'Collapsed Data'!CD6*6+'Collapsed Data'!CE6*7)/SUM('Collapsed Data'!BY6:CE6)</f>
        <v>5.4</v>
      </c>
    </row>
    <row r="44" spans="3:9" x14ac:dyDescent="0.25">
      <c r="C44" t="s">
        <v>41</v>
      </c>
      <c r="D44">
        <f>SUM('Collapsed Data'!CC7:CE7)</f>
        <v>33</v>
      </c>
      <c r="E44" s="5">
        <f>D44/SUM('Collapsed Data'!BY7:CE7)</f>
        <v>0.76744186046511631</v>
      </c>
      <c r="G44" s="6">
        <f>('Collapsed Data'!BY7*1+'Collapsed Data'!BZ7*2+'Collapsed Data'!CA7*3+'Collapsed Data'!CB7*4+'Collapsed Data'!CC7*5+'Collapsed Data'!CD7*6+'Collapsed Data'!CE7*7)/SUM('Collapsed Data'!BY7:CE7)</f>
        <v>5.4883720930232558</v>
      </c>
      <c r="I44" s="6"/>
    </row>
    <row r="45" spans="3:9" x14ac:dyDescent="0.25">
      <c r="C45" t="s">
        <v>38</v>
      </c>
      <c r="D45">
        <f>SUM('Collapsed Data'!CC8:CE8)</f>
        <v>29</v>
      </c>
      <c r="E45" s="5">
        <f>D45/SUM('Collapsed Data'!BY8:CE8)</f>
        <v>0.69047619047619047</v>
      </c>
      <c r="G45" s="6">
        <f>('Collapsed Data'!BY8*1+'Collapsed Data'!BZ8*2+'Collapsed Data'!CA8*3+'Collapsed Data'!CB8*4+'Collapsed Data'!CC8*5+'Collapsed Data'!CD8*6+'Collapsed Data'!CE8*7)/SUM('Collapsed Data'!BY8:CE8)</f>
        <v>5.166666666666667</v>
      </c>
    </row>
    <row r="46" spans="3:9" x14ac:dyDescent="0.25">
      <c r="C46" t="s">
        <v>36</v>
      </c>
      <c r="D46">
        <f>SUM('Collapsed Data'!CC9:CE9)</f>
        <v>19</v>
      </c>
      <c r="E46" s="5">
        <f>D46/SUM('Collapsed Data'!BY9:CE9)</f>
        <v>0.44186046511627908</v>
      </c>
      <c r="G46" s="6">
        <f>('Collapsed Data'!BY9*1+'Collapsed Data'!BZ9*2+'Collapsed Data'!CA9*3+'Collapsed Data'!CB9*4+'Collapsed Data'!CC9*5+'Collapsed Data'!CD9*6+'Collapsed Data'!CE9*7)/SUM('Collapsed Data'!BY9:CE9)</f>
        <v>4.4651162790697674</v>
      </c>
    </row>
    <row r="47" spans="3:9" x14ac:dyDescent="0.25">
      <c r="C47" t="s">
        <v>34</v>
      </c>
      <c r="D47">
        <f>SUM('Collapsed Data'!CC10:CE10)</f>
        <v>9</v>
      </c>
      <c r="E47" s="5">
        <f>D47/SUM('Collapsed Data'!BY10:CE10)</f>
        <v>0.69230769230769229</v>
      </c>
      <c r="G47" s="6">
        <f>('Collapsed Data'!BY10*1+'Collapsed Data'!BZ10*2+'Collapsed Data'!CA10*3+'Collapsed Data'!CB10*4+'Collapsed Data'!CC10*5+'Collapsed Data'!CD10*6+'Collapsed Data'!CE10*7)/SUM('Collapsed Data'!BY10:CE10)</f>
        <v>5.615384615384615</v>
      </c>
    </row>
    <row r="48" spans="3:9" x14ac:dyDescent="0.25">
      <c r="C48" t="s">
        <v>32</v>
      </c>
      <c r="D48">
        <f>SUM('Collapsed Data'!CC11:CE11)</f>
        <v>43</v>
      </c>
      <c r="E48" s="5">
        <f>D48/SUM('Collapsed Data'!BY11:CE11)</f>
        <v>0.57333333333333336</v>
      </c>
      <c r="G48" s="6">
        <f>('Collapsed Data'!BY11*1+'Collapsed Data'!BZ11*2+'Collapsed Data'!CA11*3+'Collapsed Data'!CB11*4+'Collapsed Data'!CC11*5+'Collapsed Data'!CD11*6+'Collapsed Data'!CE11*7)/SUM('Collapsed Data'!BY11:CE11)</f>
        <v>4.9733333333333336</v>
      </c>
    </row>
    <row r="49" spans="3:7" x14ac:dyDescent="0.25">
      <c r="C49" t="s">
        <v>6</v>
      </c>
      <c r="D49">
        <f>SUM('Collapsed Data'!CC12:CE12)</f>
        <v>37</v>
      </c>
      <c r="E49" s="5">
        <f>D49/SUM('Collapsed Data'!BY12:CE12)</f>
        <v>0.92500000000000004</v>
      </c>
      <c r="G49" s="6">
        <f>('Collapsed Data'!BY12*1+'Collapsed Data'!BZ12*2+'Collapsed Data'!CA12*3+'Collapsed Data'!CB12*4+'Collapsed Data'!CC12*5+'Collapsed Data'!CD12*6+'Collapsed Data'!CE12*7)/SUM('Collapsed Data'!BY12:CE12)</f>
        <v>6.45</v>
      </c>
    </row>
  </sheetData>
  <mergeCells count="1">
    <mergeCell ref="C37:G3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A1F47-9F78-490E-B624-A0FAB5BD4DBA}">
  <dimension ref="A1:J12"/>
  <sheetViews>
    <sheetView workbookViewId="0">
      <selection activeCell="C5" sqref="C5:J5"/>
    </sheetView>
  </sheetViews>
  <sheetFormatPr defaultRowHeight="15" x14ac:dyDescent="0.25"/>
  <cols>
    <col min="1" max="1" width="19" customWidth="1"/>
    <col min="3" max="3" width="19.5703125" customWidth="1"/>
    <col min="4" max="10" width="14.42578125" customWidth="1"/>
  </cols>
  <sheetData>
    <row r="1" spans="1:10" ht="28.5" x14ac:dyDescent="0.25">
      <c r="A1" s="12" t="s">
        <v>71</v>
      </c>
      <c r="D1" s="2"/>
      <c r="E1" s="2"/>
      <c r="F1" s="2"/>
      <c r="G1" s="2"/>
      <c r="H1" s="2"/>
      <c r="I1" s="2"/>
      <c r="J1" s="2"/>
    </row>
    <row r="2" spans="1:10" x14ac:dyDescent="0.25">
      <c r="C2" s="2"/>
      <c r="D2" s="2"/>
      <c r="E2" s="2"/>
      <c r="F2" s="2"/>
      <c r="G2" s="2"/>
      <c r="H2" s="2"/>
      <c r="I2" s="2"/>
      <c r="J2" s="2"/>
    </row>
    <row r="3" spans="1:10" x14ac:dyDescent="0.25">
      <c r="C3" s="8" t="s">
        <v>56</v>
      </c>
      <c r="D3" s="8" t="s">
        <v>72</v>
      </c>
      <c r="E3" s="8"/>
      <c r="F3" s="8"/>
      <c r="G3" s="8" t="s">
        <v>73</v>
      </c>
      <c r="H3" s="8"/>
      <c r="I3" s="8"/>
      <c r="J3" s="8" t="s">
        <v>74</v>
      </c>
    </row>
    <row r="4" spans="1:10" x14ac:dyDescent="0.25">
      <c r="C4" s="1">
        <v>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</row>
    <row r="5" spans="1:10" x14ac:dyDescent="0.25">
      <c r="A5" t="s">
        <v>67</v>
      </c>
      <c r="B5">
        <f>SUM(C5:J5)</f>
        <v>486</v>
      </c>
      <c r="C5">
        <f>SUM('Collapsed Data'!U3:U13)</f>
        <v>15</v>
      </c>
      <c r="D5">
        <f>SUM('Collapsed Data'!V3:V13)</f>
        <v>11</v>
      </c>
      <c r="E5">
        <f>SUM('Collapsed Data'!W3:W13)</f>
        <v>14</v>
      </c>
      <c r="F5">
        <f>SUM('Collapsed Data'!X3:X13)</f>
        <v>30</v>
      </c>
      <c r="G5">
        <f>SUM('Collapsed Data'!Y3:Y13)</f>
        <v>96</v>
      </c>
      <c r="H5">
        <f>SUM('Collapsed Data'!Z3:Z13)</f>
        <v>68</v>
      </c>
      <c r="I5">
        <f>SUM('Collapsed Data'!AA3:AA13)</f>
        <v>99</v>
      </c>
      <c r="J5">
        <f>SUM('Collapsed Data'!AB3:AB13)</f>
        <v>153</v>
      </c>
    </row>
    <row r="6" spans="1:10" x14ac:dyDescent="0.25">
      <c r="A6" s="24" t="s">
        <v>68</v>
      </c>
      <c r="B6" s="10">
        <f>B5-C5</f>
        <v>471</v>
      </c>
      <c r="D6" s="9">
        <f t="shared" ref="D6:J6" si="0">D5/$B$6</f>
        <v>2.3354564755838639E-2</v>
      </c>
      <c r="E6" s="9">
        <f t="shared" si="0"/>
        <v>2.9723991507430998E-2</v>
      </c>
      <c r="F6" s="9">
        <f t="shared" si="0"/>
        <v>6.3694267515923567E-2</v>
      </c>
      <c r="G6" s="9">
        <f t="shared" si="0"/>
        <v>0.20382165605095542</v>
      </c>
      <c r="H6" s="9">
        <f t="shared" si="0"/>
        <v>0.14437367303609341</v>
      </c>
      <c r="I6" s="9">
        <f t="shared" si="0"/>
        <v>0.21019108280254778</v>
      </c>
      <c r="J6" s="9">
        <f t="shared" si="0"/>
        <v>0.32484076433121017</v>
      </c>
    </row>
    <row r="7" spans="1:10" x14ac:dyDescent="0.25">
      <c r="A7" s="22"/>
      <c r="D7" s="13">
        <f>D5*(D4-$D$10)^2</f>
        <v>207.77177798513341</v>
      </c>
      <c r="E7" s="13">
        <f t="shared" ref="E7:J7" si="1">E5*(E4-$D$10)^2</f>
        <v>156.74678711329278</v>
      </c>
      <c r="F7" s="13">
        <f t="shared" si="1"/>
        <v>165.12164117543637</v>
      </c>
      <c r="G7" s="13">
        <f t="shared" si="1"/>
        <v>173.94339188878502</v>
      </c>
      <c r="H7" s="13">
        <f t="shared" si="1"/>
        <v>8.144085178123035</v>
      </c>
      <c r="I7" s="13">
        <f t="shared" si="1"/>
        <v>42.334536898048697</v>
      </c>
      <c r="J7" s="13">
        <f t="shared" si="1"/>
        <v>418.5280133068282</v>
      </c>
    </row>
    <row r="10" spans="1:10" s="14" customFormat="1" ht="28.5" x14ac:dyDescent="0.45">
      <c r="C10" s="15" t="s">
        <v>64</v>
      </c>
      <c r="D10" s="16">
        <f>SUMPRODUCT(D4:J4,D6:J6)</f>
        <v>5.3460721868365173</v>
      </c>
      <c r="J10" s="17"/>
    </row>
    <row r="11" spans="1:10" s="14" customFormat="1" ht="28.5" x14ac:dyDescent="0.45">
      <c r="C11" s="15" t="s">
        <v>69</v>
      </c>
      <c r="D11" s="16">
        <f>SQRT(SUM(D7:J7)/(B6-1))</f>
        <v>1.5795166467407569</v>
      </c>
    </row>
    <row r="12" spans="1:10" s="14" customFormat="1" ht="65.25" customHeight="1" x14ac:dyDescent="0.45">
      <c r="A12" s="26" t="s">
        <v>70</v>
      </c>
      <c r="B12" s="26"/>
      <c r="C12" s="26"/>
      <c r="D12" s="18">
        <f>SUM(H6:J6)</f>
        <v>0.67940552016985145</v>
      </c>
    </row>
  </sheetData>
  <mergeCells count="2">
    <mergeCell ref="A6:A7"/>
    <mergeCell ref="A12:C12"/>
  </mergeCells>
  <pageMargins left="0.7" right="0.7" top="0.75" bottom="0.75" header="0.3" footer="0.3"/>
  <pageSetup orientation="portrait" r:id="rId1"/>
  <ignoredErrors>
    <ignoredError sqref="D10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3D7F-8B81-43AF-83C3-A5854DEC107E}">
  <dimension ref="A1:J12"/>
  <sheetViews>
    <sheetView workbookViewId="0">
      <selection activeCell="J5" sqref="J5"/>
    </sheetView>
  </sheetViews>
  <sheetFormatPr defaultRowHeight="15" x14ac:dyDescent="0.25"/>
  <cols>
    <col min="1" max="1" width="19" customWidth="1"/>
    <col min="3" max="3" width="19.5703125" customWidth="1"/>
    <col min="4" max="10" width="14.42578125" customWidth="1"/>
  </cols>
  <sheetData>
    <row r="1" spans="1:10" ht="28.5" x14ac:dyDescent="0.25">
      <c r="A1" s="12" t="s">
        <v>82</v>
      </c>
      <c r="D1" s="2"/>
      <c r="E1" s="2"/>
      <c r="F1" s="2"/>
      <c r="G1" s="2"/>
      <c r="H1" s="2"/>
      <c r="I1" s="2"/>
      <c r="J1" s="2"/>
    </row>
    <row r="2" spans="1:10" x14ac:dyDescent="0.25">
      <c r="C2" s="2"/>
      <c r="D2" s="2"/>
      <c r="E2" s="2"/>
      <c r="F2" s="2"/>
      <c r="G2" s="2"/>
      <c r="H2" s="2"/>
      <c r="I2" s="2"/>
      <c r="J2" s="2"/>
    </row>
    <row r="3" spans="1:10" x14ac:dyDescent="0.25">
      <c r="C3" s="8" t="s">
        <v>56</v>
      </c>
      <c r="D3" s="8" t="s">
        <v>72</v>
      </c>
      <c r="E3" s="8"/>
      <c r="F3" s="8"/>
      <c r="G3" s="8" t="s">
        <v>73</v>
      </c>
      <c r="H3" s="8"/>
      <c r="I3" s="8"/>
      <c r="J3" s="8" t="s">
        <v>74</v>
      </c>
    </row>
    <row r="4" spans="1:10" x14ac:dyDescent="0.25">
      <c r="C4" s="1">
        <v>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</row>
    <row r="5" spans="1:10" x14ac:dyDescent="0.25">
      <c r="A5" t="s">
        <v>67</v>
      </c>
      <c r="B5">
        <f>SUM(C5:J5)</f>
        <v>484</v>
      </c>
      <c r="C5">
        <f>SUM('Collapsed Data'!AC3:AC13)</f>
        <v>18</v>
      </c>
      <c r="D5">
        <f>SUM('Collapsed Data'!AD3:AD13)</f>
        <v>13</v>
      </c>
      <c r="E5">
        <f>SUM('Collapsed Data'!AE3:AE13)</f>
        <v>18</v>
      </c>
      <c r="F5">
        <f>SUM('Collapsed Data'!AF3:AF13)</f>
        <v>19</v>
      </c>
      <c r="G5">
        <f>SUM('Collapsed Data'!AG3:AG13)</f>
        <v>110</v>
      </c>
      <c r="H5">
        <f>SUM('Collapsed Data'!AH3:AH13)</f>
        <v>67</v>
      </c>
      <c r="I5">
        <f>SUM('Collapsed Data'!AI3:AI13)</f>
        <v>94</v>
      </c>
      <c r="J5">
        <f>SUM('Collapsed Data'!AJ3:AJ13)</f>
        <v>145</v>
      </c>
    </row>
    <row r="6" spans="1:10" x14ac:dyDescent="0.25">
      <c r="A6" s="24" t="s">
        <v>68</v>
      </c>
      <c r="B6" s="10">
        <f>B5-C5</f>
        <v>466</v>
      </c>
      <c r="D6" s="9">
        <f t="shared" ref="D6:J6" si="0">D5/$B$6</f>
        <v>2.7896995708154508E-2</v>
      </c>
      <c r="E6" s="9">
        <f t="shared" si="0"/>
        <v>3.8626609442060089E-2</v>
      </c>
      <c r="F6" s="9">
        <f t="shared" si="0"/>
        <v>4.07725321888412E-2</v>
      </c>
      <c r="G6" s="9">
        <f t="shared" si="0"/>
        <v>0.23605150214592274</v>
      </c>
      <c r="H6" s="9">
        <f t="shared" si="0"/>
        <v>0.14377682403433475</v>
      </c>
      <c r="I6" s="9">
        <f t="shared" si="0"/>
        <v>0.20171673819742489</v>
      </c>
      <c r="J6" s="9">
        <f t="shared" si="0"/>
        <v>0.31115879828326182</v>
      </c>
    </row>
    <row r="7" spans="1:10" x14ac:dyDescent="0.25">
      <c r="A7" s="22"/>
      <c r="D7" s="13">
        <f>D5*(D4-$D$10)^2</f>
        <v>238.02459061688367</v>
      </c>
      <c r="E7" s="13">
        <f t="shared" ref="E7:J7" si="1">E5*(E4-$D$10)^2</f>
        <v>193.52959162998025</v>
      </c>
      <c r="F7" s="13">
        <f t="shared" si="1"/>
        <v>98.680377240324901</v>
      </c>
      <c r="G7" s="13">
        <f t="shared" si="1"/>
        <v>179.93405662288851</v>
      </c>
      <c r="H7" s="13">
        <f t="shared" si="1"/>
        <v>5.2142238759232855</v>
      </c>
      <c r="I7" s="13">
        <f t="shared" si="1"/>
        <v>48.869126342353013</v>
      </c>
      <c r="J7" s="13">
        <f t="shared" si="1"/>
        <v>429.4819392510455</v>
      </c>
    </row>
    <row r="10" spans="1:10" s="14" customFormat="1" ht="28.5" x14ac:dyDescent="0.45">
      <c r="C10" s="15" t="s">
        <v>64</v>
      </c>
      <c r="D10" s="16">
        <f>SUMPRODUCT(D4:J4,D6:J6)</f>
        <v>5.2789699570815447</v>
      </c>
      <c r="J10" s="17"/>
    </row>
    <row r="11" spans="1:10" s="14" customFormat="1" ht="28.5" x14ac:dyDescent="0.45">
      <c r="C11" s="15" t="s">
        <v>69</v>
      </c>
      <c r="D11" s="16">
        <f>SQRT(SUM(D7:J7)/(B6-1))</f>
        <v>1.6022389613968517</v>
      </c>
    </row>
    <row r="12" spans="1:10" s="14" customFormat="1" ht="65.25" customHeight="1" x14ac:dyDescent="0.45">
      <c r="A12" s="26" t="s">
        <v>70</v>
      </c>
      <c r="B12" s="26"/>
      <c r="C12" s="26"/>
      <c r="D12" s="18">
        <f>SUM(H6:J6)</f>
        <v>0.6566523605150214</v>
      </c>
    </row>
  </sheetData>
  <mergeCells count="2">
    <mergeCell ref="A6:A7"/>
    <mergeCell ref="A12:C1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E1AE4-DD06-4F2A-8BEF-6B646C033F90}">
  <dimension ref="A1:J12"/>
  <sheetViews>
    <sheetView workbookViewId="0">
      <selection activeCell="J5" sqref="J5"/>
    </sheetView>
  </sheetViews>
  <sheetFormatPr defaultRowHeight="15" x14ac:dyDescent="0.25"/>
  <cols>
    <col min="1" max="1" width="19" customWidth="1"/>
    <col min="3" max="3" width="19.5703125" customWidth="1"/>
    <col min="4" max="10" width="14.42578125" customWidth="1"/>
  </cols>
  <sheetData>
    <row r="1" spans="1:10" ht="28.5" x14ac:dyDescent="0.25">
      <c r="A1" s="12" t="s">
        <v>83</v>
      </c>
      <c r="D1" s="2"/>
      <c r="E1" s="2"/>
      <c r="F1" s="2"/>
      <c r="G1" s="2"/>
      <c r="H1" s="2"/>
      <c r="I1" s="2"/>
      <c r="J1" s="2"/>
    </row>
    <row r="2" spans="1:10" x14ac:dyDescent="0.25">
      <c r="C2" s="2"/>
      <c r="D2" s="2"/>
      <c r="E2" s="2"/>
      <c r="F2" s="2"/>
      <c r="G2" s="2"/>
      <c r="H2" s="2"/>
      <c r="I2" s="2"/>
      <c r="J2" s="2"/>
    </row>
    <row r="3" spans="1:10" x14ac:dyDescent="0.25">
      <c r="C3" s="8" t="s">
        <v>56</v>
      </c>
      <c r="D3" s="8" t="s">
        <v>72</v>
      </c>
      <c r="E3" s="8"/>
      <c r="F3" s="8"/>
      <c r="G3" s="8" t="s">
        <v>73</v>
      </c>
      <c r="H3" s="8"/>
      <c r="I3" s="8"/>
      <c r="J3" s="8" t="s">
        <v>74</v>
      </c>
    </row>
    <row r="4" spans="1:10" x14ac:dyDescent="0.25">
      <c r="C4" s="1">
        <v>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</row>
    <row r="5" spans="1:10" x14ac:dyDescent="0.25">
      <c r="A5" t="s">
        <v>67</v>
      </c>
      <c r="B5">
        <f>SUM(C5:J5)</f>
        <v>484</v>
      </c>
      <c r="C5">
        <f>SUM('Collapsed Data'!AK3:AK13)</f>
        <v>19</v>
      </c>
      <c r="D5">
        <f>SUM('Collapsed Data'!AL3:AL13)</f>
        <v>10</v>
      </c>
      <c r="E5">
        <f>SUM('Collapsed Data'!AM3:AM13)</f>
        <v>11</v>
      </c>
      <c r="F5">
        <f>SUM('Collapsed Data'!AN3:AN13)</f>
        <v>16</v>
      </c>
      <c r="G5">
        <f>SUM('Collapsed Data'!AO3:AO13)</f>
        <v>81</v>
      </c>
      <c r="H5">
        <f>SUM('Collapsed Data'!AP3:AP13)</f>
        <v>67</v>
      </c>
      <c r="I5">
        <f>SUM('Collapsed Data'!AQ3:AQ13)</f>
        <v>86</v>
      </c>
      <c r="J5">
        <f>SUM('Collapsed Data'!AR3:AR13)</f>
        <v>194</v>
      </c>
    </row>
    <row r="6" spans="1:10" x14ac:dyDescent="0.25">
      <c r="A6" s="24" t="s">
        <v>68</v>
      </c>
      <c r="B6" s="10">
        <f>B5-C5</f>
        <v>465</v>
      </c>
      <c r="D6" s="9">
        <f t="shared" ref="D6:J6" si="0">D5/$B$6</f>
        <v>2.1505376344086023E-2</v>
      </c>
      <c r="E6" s="9">
        <f t="shared" si="0"/>
        <v>2.3655913978494623E-2</v>
      </c>
      <c r="F6" s="9">
        <f t="shared" si="0"/>
        <v>3.4408602150537634E-2</v>
      </c>
      <c r="G6" s="9">
        <f t="shared" si="0"/>
        <v>0.17419354838709677</v>
      </c>
      <c r="H6" s="9">
        <f t="shared" si="0"/>
        <v>0.14408602150537633</v>
      </c>
      <c r="I6" s="9">
        <f t="shared" si="0"/>
        <v>0.18494623655913978</v>
      </c>
      <c r="J6" s="9">
        <f t="shared" si="0"/>
        <v>0.41720430107526879</v>
      </c>
    </row>
    <row r="7" spans="1:10" x14ac:dyDescent="0.25">
      <c r="A7" s="22"/>
      <c r="D7" s="13">
        <f>D5*(D4-$D$10)^2</f>
        <v>213.38439125910509</v>
      </c>
      <c r="E7" s="13">
        <f t="shared" ref="E7:J7" si="1">E5*(E4-$D$10)^2</f>
        <v>144.09702393340268</v>
      </c>
      <c r="F7" s="13">
        <f t="shared" si="1"/>
        <v>109.77631633714878</v>
      </c>
      <c r="G7" s="13">
        <f t="shared" si="1"/>
        <v>212.40711758584803</v>
      </c>
      <c r="H7" s="13">
        <f t="shared" si="1"/>
        <v>25.701227887617048</v>
      </c>
      <c r="I7" s="13">
        <f t="shared" si="1"/>
        <v>12.460603537981283</v>
      </c>
      <c r="J7" s="13">
        <f t="shared" si="1"/>
        <v>369.79912591050999</v>
      </c>
    </row>
    <row r="10" spans="1:10" s="14" customFormat="1" ht="28.5" x14ac:dyDescent="0.45">
      <c r="C10" s="15" t="s">
        <v>64</v>
      </c>
      <c r="D10" s="16">
        <f>SUMPRODUCT(D4:J4,D6:J6)</f>
        <v>5.6193548387096772</v>
      </c>
      <c r="J10" s="17"/>
    </row>
    <row r="11" spans="1:10" s="14" customFormat="1" ht="28.5" x14ac:dyDescent="0.45">
      <c r="C11" s="15" t="s">
        <v>69</v>
      </c>
      <c r="D11" s="16">
        <f>SQRT(SUM(D7:J7)/(B6-1))</f>
        <v>1.5310196388662012</v>
      </c>
    </row>
    <row r="12" spans="1:10" s="14" customFormat="1" ht="65.25" customHeight="1" x14ac:dyDescent="0.45">
      <c r="A12" s="26" t="s">
        <v>70</v>
      </c>
      <c r="B12" s="26"/>
      <c r="C12" s="26"/>
      <c r="D12" s="18">
        <f>SUM(H6:J6)</f>
        <v>0.74623655913978482</v>
      </c>
    </row>
  </sheetData>
  <mergeCells count="2">
    <mergeCell ref="A6:A7"/>
    <mergeCell ref="A12:C1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94E60-91E8-4995-A0B6-71094F2D9F8E}">
  <dimension ref="A1:J12"/>
  <sheetViews>
    <sheetView workbookViewId="0">
      <selection activeCell="J5" sqref="J5"/>
    </sheetView>
  </sheetViews>
  <sheetFormatPr defaultRowHeight="15" x14ac:dyDescent="0.25"/>
  <cols>
    <col min="1" max="1" width="19" customWidth="1"/>
    <col min="3" max="3" width="19.5703125" customWidth="1"/>
    <col min="4" max="10" width="14.42578125" customWidth="1"/>
  </cols>
  <sheetData>
    <row r="1" spans="1:10" ht="28.5" x14ac:dyDescent="0.25">
      <c r="A1" s="12" t="s">
        <v>84</v>
      </c>
      <c r="D1" s="2"/>
      <c r="E1" s="2"/>
      <c r="F1" s="2"/>
      <c r="G1" s="2"/>
      <c r="H1" s="2"/>
      <c r="I1" s="2"/>
      <c r="J1" s="2"/>
    </row>
    <row r="2" spans="1:10" x14ac:dyDescent="0.25">
      <c r="C2" s="2"/>
      <c r="D2" s="2"/>
      <c r="E2" s="2"/>
      <c r="F2" s="2"/>
      <c r="G2" s="2"/>
      <c r="H2" s="2"/>
      <c r="I2" s="2"/>
      <c r="J2" s="2"/>
    </row>
    <row r="3" spans="1:10" x14ac:dyDescent="0.25">
      <c r="C3" s="8" t="s">
        <v>56</v>
      </c>
      <c r="D3" s="8" t="s">
        <v>72</v>
      </c>
      <c r="E3" s="8"/>
      <c r="F3" s="8"/>
      <c r="G3" s="8" t="s">
        <v>73</v>
      </c>
      <c r="H3" s="8"/>
      <c r="I3" s="8"/>
      <c r="J3" s="8" t="s">
        <v>74</v>
      </c>
    </row>
    <row r="4" spans="1:10" x14ac:dyDescent="0.25">
      <c r="C4" s="1">
        <v>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</row>
    <row r="5" spans="1:10" x14ac:dyDescent="0.25">
      <c r="A5" t="s">
        <v>67</v>
      </c>
      <c r="B5">
        <f>SUM(C5:J5)</f>
        <v>482</v>
      </c>
      <c r="C5">
        <f>SUM('Collapsed Data'!AS3:AS13)</f>
        <v>21</v>
      </c>
      <c r="D5">
        <f>SUM('Collapsed Data'!AT3:AT13)</f>
        <v>14</v>
      </c>
      <c r="E5">
        <f>SUM('Collapsed Data'!AU3:AU13)</f>
        <v>18</v>
      </c>
      <c r="F5">
        <f>SUM('Collapsed Data'!AV3:AV13)</f>
        <v>28</v>
      </c>
      <c r="G5">
        <f>SUM('Collapsed Data'!AW3:AW13)</f>
        <v>89</v>
      </c>
      <c r="H5">
        <f>SUM('Collapsed Data'!AX3:AX13)</f>
        <v>70</v>
      </c>
      <c r="I5">
        <f>SUM('Collapsed Data'!AY3:AY13)</f>
        <v>85</v>
      </c>
      <c r="J5">
        <f>SUM('Collapsed Data'!AZ3:AZ13)</f>
        <v>157</v>
      </c>
    </row>
    <row r="6" spans="1:10" x14ac:dyDescent="0.25">
      <c r="A6" s="24" t="s">
        <v>68</v>
      </c>
      <c r="B6" s="10">
        <f>B5-C5</f>
        <v>461</v>
      </c>
      <c r="D6" s="9">
        <f t="shared" ref="D6:J6" si="0">D5/$B$6</f>
        <v>3.0368763557483729E-2</v>
      </c>
      <c r="E6" s="9">
        <f t="shared" si="0"/>
        <v>3.9045553145336226E-2</v>
      </c>
      <c r="F6" s="9">
        <f t="shared" si="0"/>
        <v>6.0737527114967459E-2</v>
      </c>
      <c r="G6" s="9">
        <f t="shared" si="0"/>
        <v>0.19305856832971802</v>
      </c>
      <c r="H6" s="9">
        <f t="shared" si="0"/>
        <v>0.15184381778741865</v>
      </c>
      <c r="I6" s="9">
        <f t="shared" si="0"/>
        <v>0.18438177874186551</v>
      </c>
      <c r="J6" s="9">
        <f t="shared" si="0"/>
        <v>0.34056399132321041</v>
      </c>
    </row>
    <row r="7" spans="1:10" x14ac:dyDescent="0.25">
      <c r="A7" s="22"/>
      <c r="D7" s="13">
        <f>D5*(D4-$D$10)^2</f>
        <v>260.35081709572228</v>
      </c>
      <c r="E7" s="13">
        <f t="shared" ref="E7:J7" si="1">E5*(E4-$D$10)^2</f>
        <v>197.49164553150038</v>
      </c>
      <c r="F7" s="13">
        <f t="shared" si="1"/>
        <v>149.71681857322332</v>
      </c>
      <c r="G7" s="13">
        <f t="shared" si="1"/>
        <v>153.2847342145011</v>
      </c>
      <c r="H7" s="13">
        <f t="shared" si="1"/>
        <v>6.8300073875052254</v>
      </c>
      <c r="I7" s="13">
        <f t="shared" si="1"/>
        <v>40.191628121456262</v>
      </c>
      <c r="J7" s="13">
        <f t="shared" si="1"/>
        <v>447.15387185266405</v>
      </c>
    </row>
    <row r="10" spans="1:10" s="14" customFormat="1" ht="28.5" x14ac:dyDescent="0.45">
      <c r="C10" s="15" t="s">
        <v>64</v>
      </c>
      <c r="D10" s="16">
        <f>SUMPRODUCT(D4:J4,D6:J6)</f>
        <v>5.3123644251626896</v>
      </c>
      <c r="J10" s="17"/>
    </row>
    <row r="11" spans="1:10" s="14" customFormat="1" ht="28.5" x14ac:dyDescent="0.45">
      <c r="C11" s="15" t="s">
        <v>69</v>
      </c>
      <c r="D11" s="16">
        <f>SQRT(SUM(D7:J7)/(B6-1))</f>
        <v>1.6517576427502472</v>
      </c>
    </row>
    <row r="12" spans="1:10" s="14" customFormat="1" ht="65.25" customHeight="1" x14ac:dyDescent="0.45">
      <c r="A12" s="26" t="s">
        <v>70</v>
      </c>
      <c r="B12" s="26"/>
      <c r="C12" s="26"/>
      <c r="D12" s="18">
        <f>SUM(H6:J6)</f>
        <v>0.67678958785249455</v>
      </c>
    </row>
  </sheetData>
  <mergeCells count="2">
    <mergeCell ref="A6:A7"/>
    <mergeCell ref="A12:C1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25BE5-3D5E-43CD-B790-41DFCC0EF773}">
  <dimension ref="A1:J12"/>
  <sheetViews>
    <sheetView workbookViewId="0">
      <selection activeCell="J5" sqref="J5"/>
    </sheetView>
  </sheetViews>
  <sheetFormatPr defaultRowHeight="15" x14ac:dyDescent="0.25"/>
  <cols>
    <col min="1" max="1" width="19" customWidth="1"/>
    <col min="3" max="3" width="19.5703125" customWidth="1"/>
    <col min="4" max="10" width="14.42578125" customWidth="1"/>
  </cols>
  <sheetData>
    <row r="1" spans="1:10" ht="28.5" x14ac:dyDescent="0.25">
      <c r="A1" s="12" t="s">
        <v>85</v>
      </c>
      <c r="D1" s="2"/>
      <c r="E1" s="2"/>
      <c r="F1" s="2"/>
      <c r="G1" s="2"/>
      <c r="H1" s="2"/>
      <c r="I1" s="2"/>
      <c r="J1" s="2"/>
    </row>
    <row r="2" spans="1:10" x14ac:dyDescent="0.25">
      <c r="C2" s="2"/>
      <c r="D2" s="2"/>
      <c r="E2" s="2"/>
      <c r="F2" s="2"/>
      <c r="G2" s="2"/>
      <c r="H2" s="2"/>
      <c r="I2" s="2"/>
      <c r="J2" s="2"/>
    </row>
    <row r="3" spans="1:10" x14ac:dyDescent="0.25">
      <c r="C3" s="8" t="s">
        <v>56</v>
      </c>
      <c r="D3" s="8" t="s">
        <v>72</v>
      </c>
      <c r="E3" s="8"/>
      <c r="F3" s="8"/>
      <c r="G3" s="8" t="s">
        <v>73</v>
      </c>
      <c r="H3" s="8"/>
      <c r="I3" s="8"/>
      <c r="J3" s="8" t="s">
        <v>74</v>
      </c>
    </row>
    <row r="4" spans="1:10" x14ac:dyDescent="0.25">
      <c r="C4" s="1">
        <v>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</row>
    <row r="5" spans="1:10" x14ac:dyDescent="0.25">
      <c r="A5" t="s">
        <v>67</v>
      </c>
      <c r="B5">
        <f>SUM(C5:J5)</f>
        <v>480</v>
      </c>
      <c r="C5">
        <f>SUM('Collapsed Data'!BA3:BA13)</f>
        <v>24</v>
      </c>
      <c r="D5">
        <f>SUM('Collapsed Data'!BB3:BB13)</f>
        <v>8</v>
      </c>
      <c r="E5">
        <f>SUM('Collapsed Data'!BC3:BC13)</f>
        <v>7</v>
      </c>
      <c r="F5">
        <f>SUM('Collapsed Data'!BD3:BD13)</f>
        <v>11</v>
      </c>
      <c r="G5">
        <f>SUM('Collapsed Data'!BE3:BE13)</f>
        <v>83</v>
      </c>
      <c r="H5">
        <f>SUM('Collapsed Data'!BF3:BF13)</f>
        <v>51</v>
      </c>
      <c r="I5">
        <f>SUM('Collapsed Data'!BG3:BG13)</f>
        <v>85</v>
      </c>
      <c r="J5">
        <f>SUM('Collapsed Data'!BH3:BH13)</f>
        <v>211</v>
      </c>
    </row>
    <row r="6" spans="1:10" x14ac:dyDescent="0.25">
      <c r="A6" s="24" t="s">
        <v>68</v>
      </c>
      <c r="B6" s="10">
        <f>B5-C5</f>
        <v>456</v>
      </c>
      <c r="D6" s="9">
        <f t="shared" ref="D6:J6" si="0">D5/$B$6</f>
        <v>1.7543859649122806E-2</v>
      </c>
      <c r="E6" s="9">
        <f t="shared" si="0"/>
        <v>1.5350877192982455E-2</v>
      </c>
      <c r="F6" s="9">
        <f t="shared" si="0"/>
        <v>2.4122807017543858E-2</v>
      </c>
      <c r="G6" s="9">
        <f t="shared" si="0"/>
        <v>0.18201754385964913</v>
      </c>
      <c r="H6" s="9">
        <f t="shared" si="0"/>
        <v>0.1118421052631579</v>
      </c>
      <c r="I6" s="9">
        <f t="shared" si="0"/>
        <v>0.18640350877192982</v>
      </c>
      <c r="J6" s="9">
        <f t="shared" si="0"/>
        <v>0.46271929824561403</v>
      </c>
    </row>
    <row r="7" spans="1:10" x14ac:dyDescent="0.25">
      <c r="A7" s="22"/>
      <c r="D7" s="13">
        <f>D5*(D4-$D$10)^2</f>
        <v>181.66855186211146</v>
      </c>
      <c r="E7" s="13">
        <f t="shared" ref="E7:J7" si="1">E5*(E4-$D$10)^2</f>
        <v>99.245070598645768</v>
      </c>
      <c r="F7" s="13">
        <f t="shared" si="1"/>
        <v>84.118820213912002</v>
      </c>
      <c r="G7" s="13">
        <f t="shared" si="1"/>
        <v>258.66648872730087</v>
      </c>
      <c r="H7" s="13">
        <f t="shared" si="1"/>
        <v>29.873860226223488</v>
      </c>
      <c r="I7" s="13">
        <f t="shared" si="1"/>
        <v>4.6801179208987209</v>
      </c>
      <c r="J7" s="13">
        <f t="shared" si="1"/>
        <v>321.63963431055686</v>
      </c>
    </row>
    <row r="10" spans="1:10" s="14" customFormat="1" ht="28.5" x14ac:dyDescent="0.45">
      <c r="C10" s="15" t="s">
        <v>64</v>
      </c>
      <c r="D10" s="16">
        <f>SUMPRODUCT(D4:J4,D6:J6)</f>
        <v>5.7653508771929829</v>
      </c>
      <c r="J10" s="17"/>
    </row>
    <row r="11" spans="1:10" s="14" customFormat="1" ht="28.5" x14ac:dyDescent="0.45">
      <c r="C11" s="15" t="s">
        <v>69</v>
      </c>
      <c r="D11" s="16">
        <f>SQRT(SUM(D7:J7)/(B6-1))</f>
        <v>1.4675183087460011</v>
      </c>
    </row>
    <row r="12" spans="1:10" s="14" customFormat="1" ht="65.25" customHeight="1" x14ac:dyDescent="0.45">
      <c r="A12" s="26" t="s">
        <v>70</v>
      </c>
      <c r="B12" s="26"/>
      <c r="C12" s="26"/>
      <c r="D12" s="18">
        <f>SUM(H6:J6)</f>
        <v>0.76096491228070173</v>
      </c>
    </row>
  </sheetData>
  <mergeCells count="2">
    <mergeCell ref="A6:A7"/>
    <mergeCell ref="A12:C1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55CB5-0D35-4C9A-B45C-5AB6E1A05548}">
  <dimension ref="A1:J12"/>
  <sheetViews>
    <sheetView workbookViewId="0">
      <selection activeCell="B6" sqref="B6"/>
    </sheetView>
  </sheetViews>
  <sheetFormatPr defaultRowHeight="15" x14ac:dyDescent="0.25"/>
  <cols>
    <col min="1" max="1" width="19" customWidth="1"/>
    <col min="3" max="3" width="19.5703125" customWidth="1"/>
    <col min="4" max="10" width="14.42578125" customWidth="1"/>
  </cols>
  <sheetData>
    <row r="1" spans="1:10" ht="28.5" x14ac:dyDescent="0.25">
      <c r="A1" s="12" t="s">
        <v>86</v>
      </c>
      <c r="D1" s="2"/>
      <c r="E1" s="2"/>
      <c r="F1" s="2"/>
      <c r="G1" s="2"/>
      <c r="H1" s="2"/>
      <c r="I1" s="2"/>
      <c r="J1" s="2"/>
    </row>
    <row r="2" spans="1:10" x14ac:dyDescent="0.25">
      <c r="C2" s="2"/>
      <c r="D2" s="2"/>
      <c r="E2" s="2"/>
      <c r="F2" s="2"/>
      <c r="G2" s="2"/>
      <c r="H2" s="2"/>
      <c r="I2" s="2"/>
      <c r="J2" s="2"/>
    </row>
    <row r="3" spans="1:10" x14ac:dyDescent="0.25">
      <c r="C3" s="8" t="s">
        <v>56</v>
      </c>
      <c r="D3" s="8" t="s">
        <v>72</v>
      </c>
      <c r="E3" s="8"/>
      <c r="F3" s="8"/>
      <c r="G3" s="8" t="s">
        <v>73</v>
      </c>
      <c r="H3" s="8"/>
      <c r="I3" s="8"/>
      <c r="J3" s="8" t="s">
        <v>74</v>
      </c>
    </row>
    <row r="4" spans="1:10" x14ac:dyDescent="0.25">
      <c r="C4" s="1">
        <v>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</row>
    <row r="5" spans="1:10" x14ac:dyDescent="0.25">
      <c r="A5" t="s">
        <v>67</v>
      </c>
      <c r="B5">
        <f>SUM(C5:J5)</f>
        <v>484</v>
      </c>
      <c r="C5">
        <f>SUM('Collapsed Data'!BI3:BI13)</f>
        <v>30</v>
      </c>
      <c r="D5">
        <f>SUM('Collapsed Data'!BJ3:BJ13)</f>
        <v>19</v>
      </c>
      <c r="E5">
        <f>SUM('Collapsed Data'!BK3:BK13)</f>
        <v>26</v>
      </c>
      <c r="F5">
        <f>SUM('Collapsed Data'!BL3:BL13)</f>
        <v>23</v>
      </c>
      <c r="G5">
        <f>SUM('Collapsed Data'!BM3:BM13)</f>
        <v>90</v>
      </c>
      <c r="H5">
        <f>SUM('Collapsed Data'!BN3:BN13)</f>
        <v>65</v>
      </c>
      <c r="I5">
        <f>SUM('Collapsed Data'!BO3:BO13)</f>
        <v>81</v>
      </c>
      <c r="J5">
        <f>SUM('Collapsed Data'!BP3:BP13)</f>
        <v>150</v>
      </c>
    </row>
    <row r="6" spans="1:10" x14ac:dyDescent="0.25">
      <c r="A6" s="24" t="s">
        <v>68</v>
      </c>
      <c r="B6" s="10">
        <f>B5-C5</f>
        <v>454</v>
      </c>
      <c r="D6" s="9">
        <f t="shared" ref="D6:J6" si="0">D5/$B$6</f>
        <v>4.185022026431718E-2</v>
      </c>
      <c r="E6" s="9">
        <f t="shared" si="0"/>
        <v>5.7268722466960353E-2</v>
      </c>
      <c r="F6" s="9">
        <f t="shared" si="0"/>
        <v>5.0660792951541848E-2</v>
      </c>
      <c r="G6" s="9">
        <f t="shared" si="0"/>
        <v>0.19823788546255505</v>
      </c>
      <c r="H6" s="9">
        <f t="shared" si="0"/>
        <v>0.14317180616740088</v>
      </c>
      <c r="I6" s="9">
        <f t="shared" si="0"/>
        <v>0.17841409691629956</v>
      </c>
      <c r="J6" s="9">
        <f t="shared" si="0"/>
        <v>0.33039647577092512</v>
      </c>
    </row>
    <row r="7" spans="1:10" x14ac:dyDescent="0.25">
      <c r="A7" s="22"/>
      <c r="D7" s="13">
        <f>D5*(D4-$D$10)^2</f>
        <v>335.23031205728819</v>
      </c>
      <c r="E7" s="13">
        <f t="shared" ref="E7:J7" si="1">E5*(E4-$D$10)^2</f>
        <v>266.31330901046022</v>
      </c>
      <c r="F7" s="13">
        <f t="shared" si="1"/>
        <v>111.36458596130338</v>
      </c>
      <c r="G7" s="13">
        <f t="shared" si="1"/>
        <v>129.69517165091509</v>
      </c>
      <c r="H7" s="13">
        <f t="shared" si="1"/>
        <v>2.6114663587494511</v>
      </c>
      <c r="I7" s="13">
        <f t="shared" si="1"/>
        <v>51.782923208290434</v>
      </c>
      <c r="J7" s="13">
        <f t="shared" si="1"/>
        <v>485.76214364726644</v>
      </c>
    </row>
    <row r="10" spans="1:10" s="14" customFormat="1" ht="28.5" x14ac:dyDescent="0.45">
      <c r="C10" s="15" t="s">
        <v>64</v>
      </c>
      <c r="D10" s="16">
        <f>SUMPRODUCT(D4:J4,D6:J6)</f>
        <v>5.2004405286343616</v>
      </c>
      <c r="J10" s="17"/>
    </row>
    <row r="11" spans="1:10" s="14" customFormat="1" ht="28.5" x14ac:dyDescent="0.45">
      <c r="C11" s="15" t="s">
        <v>69</v>
      </c>
      <c r="D11" s="16">
        <f>SQRT(SUM(D7:J7)/(B6-1))</f>
        <v>1.747126250913754</v>
      </c>
    </row>
    <row r="12" spans="1:10" s="14" customFormat="1" ht="65.25" customHeight="1" x14ac:dyDescent="0.45">
      <c r="A12" s="26" t="s">
        <v>70</v>
      </c>
      <c r="B12" s="26"/>
      <c r="C12" s="26"/>
      <c r="D12" s="19">
        <f>SUM(H6:J6)</f>
        <v>0.65198237885462551</v>
      </c>
    </row>
  </sheetData>
  <mergeCells count="2">
    <mergeCell ref="A6:A7"/>
    <mergeCell ref="A12:C1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558E9-0946-41B0-B0C5-77BB67E8A4D5}">
  <dimension ref="A1:J12"/>
  <sheetViews>
    <sheetView workbookViewId="0">
      <selection activeCell="J5" sqref="J5"/>
    </sheetView>
  </sheetViews>
  <sheetFormatPr defaultRowHeight="15" x14ac:dyDescent="0.25"/>
  <cols>
    <col min="1" max="1" width="19" customWidth="1"/>
    <col min="3" max="3" width="19.5703125" customWidth="1"/>
    <col min="4" max="10" width="14.42578125" customWidth="1"/>
  </cols>
  <sheetData>
    <row r="1" spans="1:10" ht="28.5" x14ac:dyDescent="0.25">
      <c r="A1" s="12" t="s">
        <v>87</v>
      </c>
      <c r="D1" s="2"/>
      <c r="E1" s="2"/>
      <c r="F1" s="2"/>
      <c r="G1" s="2"/>
      <c r="H1" s="2"/>
      <c r="I1" s="2"/>
      <c r="J1" s="2"/>
    </row>
    <row r="2" spans="1:10" x14ac:dyDescent="0.25">
      <c r="C2" s="2"/>
      <c r="D2" s="2"/>
      <c r="E2" s="2"/>
      <c r="F2" s="2"/>
      <c r="G2" s="2"/>
      <c r="H2" s="2"/>
      <c r="I2" s="2"/>
      <c r="J2" s="2"/>
    </row>
    <row r="3" spans="1:10" x14ac:dyDescent="0.25">
      <c r="C3" s="8" t="s">
        <v>56</v>
      </c>
      <c r="D3" s="8" t="s">
        <v>72</v>
      </c>
      <c r="E3" s="8"/>
      <c r="F3" s="8"/>
      <c r="G3" s="8" t="s">
        <v>73</v>
      </c>
      <c r="H3" s="8"/>
      <c r="I3" s="8"/>
      <c r="J3" s="8" t="s">
        <v>74</v>
      </c>
    </row>
    <row r="4" spans="1:10" x14ac:dyDescent="0.25">
      <c r="C4" s="1">
        <v>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</row>
    <row r="5" spans="1:10" x14ac:dyDescent="0.25">
      <c r="A5" t="s">
        <v>67</v>
      </c>
      <c r="B5">
        <f>SUM(C5:J5)</f>
        <v>480</v>
      </c>
      <c r="C5">
        <f>SUM('Collapsed Data'!BQ3:BQ13)</f>
        <v>25</v>
      </c>
      <c r="D5">
        <f>SUM('Collapsed Data'!BR3:BR13)</f>
        <v>21</v>
      </c>
      <c r="E5">
        <f>SUM('Collapsed Data'!BS3:BS13)</f>
        <v>19</v>
      </c>
      <c r="F5">
        <f>SUM('Collapsed Data'!BT3:BT13)</f>
        <v>22</v>
      </c>
      <c r="G5">
        <f>SUM('Collapsed Data'!BU3:BU13)</f>
        <v>97</v>
      </c>
      <c r="H5">
        <f>SUM('Collapsed Data'!BV3:BV13)</f>
        <v>57</v>
      </c>
      <c r="I5">
        <f>SUM('Collapsed Data'!BW3:BW13)</f>
        <v>84</v>
      </c>
      <c r="J5">
        <f>SUM('Collapsed Data'!BX3:BX13)</f>
        <v>155</v>
      </c>
    </row>
    <row r="6" spans="1:10" x14ac:dyDescent="0.25">
      <c r="A6" s="24" t="s">
        <v>68</v>
      </c>
      <c r="B6" s="10">
        <f>B5-C5</f>
        <v>455</v>
      </c>
      <c r="D6" s="9">
        <f t="shared" ref="D6:J6" si="0">D5/$B$6</f>
        <v>4.6153846153846156E-2</v>
      </c>
      <c r="E6" s="9">
        <f t="shared" si="0"/>
        <v>4.1758241758241756E-2</v>
      </c>
      <c r="F6" s="9">
        <f t="shared" si="0"/>
        <v>4.8351648351648353E-2</v>
      </c>
      <c r="G6" s="9">
        <f t="shared" si="0"/>
        <v>0.21318681318681318</v>
      </c>
      <c r="H6" s="9">
        <f t="shared" si="0"/>
        <v>0.12527472527472527</v>
      </c>
      <c r="I6" s="9">
        <f t="shared" si="0"/>
        <v>0.18461538461538463</v>
      </c>
      <c r="J6" s="9">
        <f t="shared" si="0"/>
        <v>0.34065934065934067</v>
      </c>
    </row>
    <row r="7" spans="1:10" x14ac:dyDescent="0.25">
      <c r="A7" s="22"/>
      <c r="D7" s="13">
        <f>D5*(D4-$D$10)^2</f>
        <v>378.62627218934915</v>
      </c>
      <c r="E7" s="13">
        <f t="shared" ref="E7:J7" si="1">E5*(E4-$D$10)^2</f>
        <v>200.21278106508876</v>
      </c>
      <c r="F7" s="13">
        <f t="shared" si="1"/>
        <v>110.99455621301774</v>
      </c>
      <c r="G7" s="13">
        <f t="shared" si="1"/>
        <v>150.63124260355031</v>
      </c>
      <c r="H7" s="13">
        <f t="shared" si="1"/>
        <v>3.453727810650888</v>
      </c>
      <c r="I7" s="13">
        <f t="shared" si="1"/>
        <v>47.735857988165684</v>
      </c>
      <c r="J7" s="13">
        <f t="shared" si="1"/>
        <v>476.7763313609467</v>
      </c>
    </row>
    <row r="10" spans="1:10" s="14" customFormat="1" ht="28.5" x14ac:dyDescent="0.45">
      <c r="C10" s="15" t="s">
        <v>64</v>
      </c>
      <c r="D10" s="16">
        <f>SUMPRODUCT(D4:J4,D6:J6)</f>
        <v>5.2461538461538462</v>
      </c>
      <c r="J10" s="17"/>
    </row>
    <row r="11" spans="1:10" s="14" customFormat="1" ht="28.5" x14ac:dyDescent="0.45">
      <c r="C11" s="15" t="s">
        <v>69</v>
      </c>
      <c r="D11" s="16">
        <f>SQRT(SUM(D7:J7)/(B6-1))</f>
        <v>1.7361349860928483</v>
      </c>
    </row>
    <row r="12" spans="1:10" s="14" customFormat="1" ht="65.25" customHeight="1" x14ac:dyDescent="0.45">
      <c r="A12" s="26" t="s">
        <v>70</v>
      </c>
      <c r="B12" s="26"/>
      <c r="C12" s="26"/>
      <c r="D12" s="19">
        <f>SUM(H6:J6)</f>
        <v>0.65054945054945057</v>
      </c>
    </row>
  </sheetData>
  <mergeCells count="2">
    <mergeCell ref="A6:A7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Introduction</vt:lpstr>
      <vt:lpstr>Raw Data</vt:lpstr>
      <vt:lpstr>Collapsed Data</vt:lpstr>
      <vt:lpstr>General Effectiveness</vt:lpstr>
      <vt:lpstr>Competence</vt:lpstr>
      <vt:lpstr>Clarity</vt:lpstr>
      <vt:lpstr>Responsiveness</vt:lpstr>
      <vt:lpstr>Integration</vt:lpstr>
      <vt:lpstr>Timeliness</vt:lpstr>
      <vt:lpstr>Usefulness</vt:lpstr>
      <vt:lpstr>Future Course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Andrew Benson</cp:lastModifiedBy>
  <dcterms:created xsi:type="dcterms:W3CDTF">2015-06-05T18:17:20Z</dcterms:created>
  <dcterms:modified xsi:type="dcterms:W3CDTF">2026-07-06T21:30:18Z</dcterms:modified>
</cp:coreProperties>
</file>